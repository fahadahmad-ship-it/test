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Opportunities" sheetId="2" state="visible" r:id="rId2"/>
    <sheet name="Page Summary" sheetId="3" state="visible" r:id="rId3"/>
    <sheet name="Fix List" sheetId="4" state="visible" r:id="rId4"/>
    <sheet name="Page Inventory" sheetId="5" state="visible" r:id="rId5"/>
  </sheets>
  <definedNames>
    <definedName name="_xlnm._FilterDatabase" localSheetId="1" hidden="1">'Opportunities'!$A$1:$O$143</definedName>
    <definedName name="_xlnm._FilterDatabase" localSheetId="2" hidden="1">'Page Summary'!$A$1:$H$58</definedName>
    <definedName name="_xlnm._FilterDatabase" localSheetId="3" hidden="1">'Fix List'!$A$1:$F$16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1F3864"/>
      <sz val="12"/>
    </font>
    <font>
      <name val="Arial"/>
      <b val="1"/>
      <sz val="10"/>
    </font>
    <font>
      <name val="Arial"/>
      <sz val="10"/>
    </font>
    <font>
      <name val="Arial"/>
      <b val="1"/>
      <color rgb="001F3864"/>
      <sz val="16"/>
    </font>
    <font>
      <name val="Arial"/>
      <b val="1"/>
      <color rgb="00FFFFFF"/>
      <sz val="10"/>
    </font>
    <font>
      <name val="Arial"/>
      <b val="1"/>
      <color rgb="00006100"/>
      <sz val="10"/>
    </font>
    <font>
      <name val="Arial"/>
      <b val="1"/>
      <color rgb="009C5700"/>
      <sz val="10"/>
    </font>
    <font>
      <name val="Arial"/>
      <b val="1"/>
      <color rgb="009C0006"/>
      <sz val="10"/>
    </font>
    <font>
      <name val="Arial"/>
      <b val="1"/>
      <color rgb="00808080"/>
      <sz val="10"/>
    </font>
    <font>
      <name val="Arial"/>
      <b val="1"/>
      <color rgb="001F3864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D9D9D9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1" fillId="0" borderId="0" pivotButton="0" quotePrefix="0" xfId="0"/>
    <xf numFmtId="0" fontId="5" fillId="2" borderId="0" applyAlignment="1" pivotButton="0" quotePrefix="0" xfId="0">
      <alignment vertical="center" wrapText="1"/>
    </xf>
    <xf numFmtId="0" fontId="3" fillId="0" borderId="1" applyAlignment="1" pivotButton="0" quotePrefix="0" xfId="0">
      <alignment vertical="top"/>
    </xf>
    <xf numFmtId="0" fontId="3" fillId="0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/>
    </xf>
    <xf numFmtId="0" fontId="7" fillId="4" borderId="1" applyAlignment="1" pivotButton="0" quotePrefix="0" xfId="0">
      <alignment vertical="top"/>
    </xf>
    <xf numFmtId="0" fontId="8" fillId="5" borderId="1" applyAlignment="1" pivotButton="0" quotePrefix="0" xfId="0">
      <alignment vertical="top"/>
    </xf>
    <xf numFmtId="0" fontId="9" fillId="6" borderId="1" applyAlignment="1" pivotButton="0" quotePrefix="0" xfId="0">
      <alignment vertical="top"/>
    </xf>
    <xf numFmtId="0" fontId="3" fillId="0" borderId="1" pivotButton="0" quotePrefix="0" xfId="0"/>
    <xf numFmtId="0" fontId="6" fillId="3" borderId="1" pivotButton="0" quotePrefix="0" xfId="0"/>
    <xf numFmtId="0" fontId="7" fillId="4" borderId="1" pivotButton="0" quotePrefix="0" xfId="0"/>
    <xf numFmtId="0" fontId="8" fillId="5" borderId="1" pivotButton="0" quotePrefix="0" xfId="0"/>
    <xf numFmtId="0" fontId="9" fillId="6" borderId="1" pivotButton="0" quotePrefix="0" xfId="0"/>
    <xf numFmtId="0" fontId="3" fillId="5" borderId="1" applyAlignment="1" pivotButton="0" quotePrefix="0" xfId="0">
      <alignment vertical="top" wrapText="1"/>
    </xf>
    <xf numFmtId="0" fontId="5" fillId="2" borderId="0" pivotButton="0" quotePrefix="0" xfId="0"/>
    <xf numFmtId="0" fontId="10" fillId="7" borderId="0" pivotButton="0" quotePrefix="0" xfId="0"/>
    <xf numFmtId="0" fontId="0" fillId="7" borderId="0" pivotButton="0" quotePrefix="0" xfId="0"/>
    <xf numFmtId="0" fontId="3" fillId="4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04" customWidth="1" min="2" max="2"/>
  </cols>
  <sheetData>
    <row r="1">
      <c r="A1" s="1" t="inlineStr">
        <is>
          <t>betterwaste.co.uk — New Keyword Opportunities</t>
        </is>
      </c>
    </row>
    <row r="2">
      <c r="A2" s="2" t="inlineStr"/>
      <c r="B2" s="3" t="inlineStr"/>
    </row>
    <row r="3" ht="15" customHeight="1">
      <c r="A3" s="2" t="inlineStr">
        <is>
          <t>Date</t>
        </is>
      </c>
      <c r="B3" s="3" t="inlineStr">
        <is>
          <t>1 October 2026</t>
        </is>
      </c>
    </row>
    <row r="4" ht="15" customHeight="1">
      <c r="A4" s="2" t="inlineStr">
        <is>
          <t>Market</t>
        </is>
      </c>
      <c r="B4" s="3" t="inlineStr">
        <is>
          <t>UK</t>
        </is>
      </c>
    </row>
    <row r="5" ht="28" customHeight="1">
      <c r="A5" s="2" t="inlineStr">
        <is>
          <t>Data source</t>
        </is>
      </c>
      <c r="B5" s="3" t="inlineStr">
        <is>
          <t>Semrush UK database — search volume, Keyword Difficulty, search intent, current rankings, and the Authority Score of every ranking competitor. CPC is not included.</t>
        </is>
      </c>
    </row>
    <row r="6" ht="28" customHeight="1">
      <c r="A6" s="2" t="inlineStr">
        <is>
          <t>Ahrefs use</t>
        </is>
      </c>
      <c r="B6" s="3" t="inlineStr">
        <is>
          <t>Page existence and HTTP status only (the environment cannot reach betterwaste.co.uk directly). No Ahrefs metric appears in this workbook.</t>
        </is>
      </c>
    </row>
    <row r="7">
      <c r="A7" s="2" t="inlineStr"/>
      <c r="B7" s="3" t="inlineStr"/>
    </row>
    <row r="8">
      <c r="A8" s="4" t="inlineStr">
        <is>
          <t>TABS</t>
        </is>
      </c>
    </row>
    <row r="9" ht="28" customHeight="1">
      <c r="A9" s="2" t="inlineStr">
        <is>
          <t>Opportunities</t>
        </is>
      </c>
      <c r="B9" s="3" t="inlineStr">
        <is>
          <t>133 NEW keywords only. Nothing from your existing KW/URL mapping sheet is repeated here — the three that overlapped (commercial waste collection london / manchester / birmingham) were removed.</t>
        </is>
      </c>
    </row>
    <row r="10" ht="15" customHeight="1">
      <c r="A10" s="2" t="inlineStr">
        <is>
          <t>Page Summary</t>
        </is>
      </c>
      <c r="B10" s="3" t="inlineStr">
        <is>
          <t>One row per target page, with live formulas counting keywords and summing volume from Master Plan.</t>
        </is>
      </c>
    </row>
    <row r="11" ht="15" customHeight="1">
      <c r="A11" s="2" t="inlineStr">
        <is>
          <t>Fix List</t>
        </is>
      </c>
      <c r="B11" s="3" t="inlineStr">
        <is>
          <t>15 technical and mapping fixes found during the audit.</t>
        </is>
      </c>
    </row>
    <row r="12" ht="15" customHeight="1">
      <c r="A12" s="2" t="inlineStr">
        <is>
          <t>Page Inventory</t>
        </is>
      </c>
      <c r="B12" s="3" t="inlineStr">
        <is>
          <t>What actually exists on the site, including pages previously assumed missing.</t>
        </is>
      </c>
    </row>
    <row r="13">
      <c r="A13" s="2" t="inlineStr"/>
      <c r="B13" s="3" t="inlineStr"/>
    </row>
    <row r="14">
      <c r="A14" s="4" t="inlineStr">
        <is>
          <t>DIFFICULTY GRADING</t>
        </is>
      </c>
    </row>
    <row r="15" ht="28" customHeight="1">
      <c r="A15" s="2" t="inlineStr">
        <is>
          <t>Benchmark</t>
        </is>
      </c>
      <c r="B15" s="3" t="inlineStr">
        <is>
          <t>Better Waste is Semrush Authority Score 20. The test: how many sites at AS 25 or below — at or below Better Waste — currently rank in the top 10?</t>
        </is>
      </c>
    </row>
    <row r="16" ht="28" customHeight="1">
      <c r="A16" s="2" t="inlineStr">
        <is>
          <t>EASY</t>
        </is>
      </c>
      <c r="B16" s="3" t="inlineStr">
        <is>
          <t>3+ ranking sites at AS 25 or below, and fewer than 4 council/gov slots. Reachable on content quality.</t>
        </is>
      </c>
    </row>
    <row r="17" ht="28" customHeight="1">
      <c r="A17" s="2" t="inlineStr">
        <is>
          <t>MEDIUM</t>
        </is>
      </c>
      <c r="B17" s="3" t="inlineStr">
        <is>
          <t>1–2 at AS 25 or below, or lowest AS is 26–30 with fewer than 4 council/gov slots. Needs a strong page plus links.</t>
        </is>
      </c>
    </row>
    <row r="18" ht="15" customHeight="1">
      <c r="A18" s="2" t="inlineStr">
        <is>
          <t>HARD</t>
        </is>
      </c>
      <c r="B18" s="3" t="inlineStr">
        <is>
          <t>Nothing at AS 25 or below, or 4+ council/gov slots. Defer until authority improves.</t>
        </is>
      </c>
    </row>
    <row r="19" ht="15" customHeight="1">
      <c r="A19" s="2" t="inlineStr">
        <is>
          <t>AVOID</t>
        </is>
      </c>
      <c r="B19" s="3" t="inlineStr">
        <is>
          <t>SERP intent is not a commercial waste service (household, council or retail intent). Do not target.</t>
        </is>
      </c>
    </row>
    <row r="20">
      <c r="A20" s="2" t="inlineStr"/>
      <c r="B20" s="3" t="inlineStr"/>
    </row>
    <row r="21">
      <c r="A21" s="4" t="inlineStr">
        <is>
          <t>EVIDENCE</t>
        </is>
      </c>
    </row>
    <row r="22" ht="28" customHeight="1">
      <c r="A22" s="2" t="inlineStr">
        <is>
          <t>Coverage</t>
        </is>
      </c>
      <c r="B22" s="3" t="inlineStr">
        <is>
          <t>All 104 recommendations are graded: 36 from a direct SERP + Authority Score check, 68 inherited from a directly-checked keyword on the same SERP (the Evidence column names which).</t>
        </is>
      </c>
    </row>
    <row r="23" ht="42" customHeight="1">
      <c r="A23" s="2" t="inlineStr">
        <is>
          <t>Gap check</t>
        </is>
      </c>
      <c r="B23" s="3" t="inlineStr">
        <is>
          <t>Competitor gap passes against thefirstmile.co.uk, businesswaste.co.uk, divert.co.uk and recorra.co.uk added 42 keywords in seven clusters with no prior coverage: pest/bin hygiene, abbreviated bin specs, skips, legislation/news, compliance, shredding/data destruction and other streams.</t>
        </is>
      </c>
    </row>
    <row r="24" ht="42" customHeight="1">
      <c r="A24" s="2" t="inlineStr">
        <is>
          <t>Exclusions</t>
        </is>
      </c>
      <c r="B24" s="3" t="inlineStr">
        <is>
          <t>Every keyword in your existing sheet is excluded, including token-identical variants (e.g. "mixed dry recycling" was dropped because your sheet has "dry mixed recycling"). Four were removed on that basis.</t>
        </is>
      </c>
    </row>
    <row r="25" ht="56" customHeight="1">
      <c r="A25" s="2" t="inlineStr">
        <is>
          <t>Rejected on checking</t>
        </is>
      </c>
      <c r="B25" s="3" t="inlineStr">
        <is>
          <t>Six candidates were checked and rejected rather than added as opportunities: food waste caddy and waste compactor and baler machine (retail/equipment SERPs), fridge freezer disposal and fridge removal (household), and house clearance (residential). medical waste collection and weee waste were added but graded AVOID/HARD so the decision is visible rather than silent.</t>
        </is>
      </c>
    </row>
    <row r="26">
      <c r="A26" s="2" t="inlineStr"/>
      <c r="B26" s="3" t="inlineStr"/>
    </row>
    <row r="27">
      <c r="A27" s="4" t="inlineStr">
        <is>
          <t>KNOWN LIMITATION</t>
        </is>
      </c>
    </row>
    <row r="28" ht="42" customHeight="1">
      <c r="A28" s="2" t="inlineStr">
        <is>
          <t>Formulas</t>
        </is>
      </c>
      <c r="B28" s="3" t="inlineStr">
        <is>
          <t>The Keywords, Total SV and Already Ranking columns on Page Summary are live COUNTIF/SUMIF formulas. They show no value until Excel opens and recalculates the file — that is expected. Best Position is a static snapshot of current Semrush rankings, not a formula.</t>
        </is>
      </c>
    </row>
    <row r="29" ht="28" customHeight="1">
      <c r="A29" s="2" t="inlineStr">
        <is>
          <t>Not verified</t>
        </is>
      </c>
      <c r="B29" s="3" t="inlineStr">
        <is>
          <t>The Manchester / London / Birmingham city URLs return 301 while the "-old" equivalents return 200. Confirm where those redirects point before acting — see the Fix List.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43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0" customWidth="1" min="2" max="2"/>
    <col width="26" customWidth="1" min="3" max="3"/>
    <col width="46" customWidth="1" min="4" max="4"/>
    <col width="12" customWidth="1" min="5" max="5"/>
    <col width="40" customWidth="1" min="6" max="6"/>
    <col width="24" customWidth="1" min="7" max="7"/>
    <col width="14" customWidth="1" min="8" max="8"/>
    <col width="7" customWidth="1" min="9" max="9"/>
    <col width="10" customWidth="1" min="10" max="10"/>
    <col width="46" customWidth="1" min="11" max="11"/>
    <col width="14" customWidth="1" min="12" max="12"/>
    <col width="70" customWidth="1" min="13" max="13"/>
    <col width="9" customWidth="1" min="14" max="14"/>
    <col width="44" customWidth="1" min="15" max="15"/>
  </cols>
  <sheetData>
    <row r="1" ht="30" customHeight="1">
      <c r="A1" s="5" t="inlineStr">
        <is>
          <t>Market</t>
        </is>
      </c>
      <c r="B1" s="5" t="inlineStr">
        <is>
          <t>Type</t>
        </is>
      </c>
      <c r="C1" s="5" t="inlineStr">
        <is>
          <t>Cluster</t>
        </is>
      </c>
      <c r="D1" s="5" t="inlineStr">
        <is>
          <t>Page</t>
        </is>
      </c>
      <c r="E1" s="5" t="inlineStr">
        <is>
          <t>Page Status</t>
        </is>
      </c>
      <c r="F1" s="5" t="inlineStr">
        <is>
          <t>Keyword</t>
        </is>
      </c>
      <c r="G1" s="5" t="inlineStr">
        <is>
          <t>Intent</t>
        </is>
      </c>
      <c r="H1" s="5" t="inlineStr">
        <is>
          <t>SV (Semrush UK)</t>
        </is>
      </c>
      <c r="I1" s="5" t="inlineStr">
        <is>
          <t>KD</t>
        </is>
      </c>
      <c r="J1" s="5" t="inlineStr">
        <is>
          <t>Current Position</t>
        </is>
      </c>
      <c r="K1" s="5" t="inlineStr">
        <is>
          <t>Current Ranking URL</t>
        </is>
      </c>
      <c r="L1" s="5" t="inlineStr">
        <is>
          <t>Difficulty</t>
        </is>
      </c>
      <c r="M1" s="5" t="inlineStr">
        <is>
          <t>Evidence (Authority Score)</t>
        </is>
      </c>
      <c r="N1" s="5" t="inlineStr">
        <is>
          <t>Priority</t>
        </is>
      </c>
      <c r="O1" s="5" t="inlineStr">
        <is>
          <t>Notes</t>
        </is>
      </c>
    </row>
    <row r="2">
      <c r="A2" s="6" t="inlineStr">
        <is>
          <t>UK</t>
        </is>
      </c>
      <c r="B2" s="6" t="inlineStr">
        <is>
          <t>Gap vs competitors</t>
        </is>
      </c>
      <c r="C2" s="6" t="inlineStr">
        <is>
          <t>G - Skips</t>
        </is>
      </c>
      <c r="D2" s="7" t="inlineStr">
        <is>
          <t>https://betterwaste.co.uk/commercial-skip-hire/</t>
        </is>
      </c>
      <c r="E2" s="6" t="inlineStr">
        <is>
          <t>CREATE</t>
        </is>
      </c>
      <c r="F2" s="6" t="inlineStr">
        <is>
          <t>skip sizes uk</t>
        </is>
      </c>
      <c r="G2" s="6" t="inlineStr">
        <is>
          <t>Informational</t>
        </is>
      </c>
      <c r="H2" s="6" t="n">
        <v>2900</v>
      </c>
      <c r="I2" s="6" t="n">
        <v>9</v>
      </c>
      <c r="J2" s="6" t="inlineStr"/>
      <c r="K2" s="7" t="inlineStr"/>
      <c r="L2" s="8" t="inlineStr">
        <is>
          <t>EASY</t>
        </is>
      </c>
      <c r="M2" s="7" t="inlineStr">
        <is>
          <t>AS 24 (tomwhitewaste), 12 (budgetskipsdirect), 12 (enterprise-skiphire), 11 (thewastemonkeys) - four sub-25 sites. CHECK SERVICE FIT: does Better Waste offer skips?</t>
        </is>
      </c>
      <c r="N2" s="6" t="inlineStr">
        <is>
          <t>P2</t>
        </is>
      </c>
      <c r="O2" s="7" t="inlineStr">
        <is>
          <t>CHECK SERVICE FIT before building</t>
        </is>
      </c>
    </row>
    <row r="3">
      <c r="A3" s="6" t="inlineStr">
        <is>
          <t>UK</t>
        </is>
      </c>
      <c r="B3" s="6" t="inlineStr">
        <is>
          <t>Gap vs competitors</t>
        </is>
      </c>
      <c r="C3" s="6" t="inlineStr">
        <is>
          <t>G - Other streams</t>
        </is>
      </c>
      <c r="D3" s="7" t="inlineStr">
        <is>
          <t>https://betterwaste.co.uk/office-waste-management/</t>
        </is>
      </c>
      <c r="E3" s="6" t="inlineStr">
        <is>
          <t>OPTIMISE</t>
        </is>
      </c>
      <c r="F3" s="6" t="inlineStr">
        <is>
          <t>office clearance</t>
        </is>
      </c>
      <c r="G3" s="6" t="inlineStr">
        <is>
          <t>Commercial</t>
        </is>
      </c>
      <c r="H3" s="6" t="n">
        <v>2400</v>
      </c>
      <c r="I3" s="6" t="n">
        <v>14</v>
      </c>
      <c r="J3" s="6" t="inlineStr"/>
      <c r="K3" s="7" t="inlineStr"/>
      <c r="L3" s="8" t="inlineStr">
        <is>
          <t>EASY</t>
        </is>
      </c>
      <c r="M3" s="7" t="inlineStr">
        <is>
          <t>inherited from "office waste management": stale SERP: half the top 10 are http:// URLs, one is a US state agency; AS 24 at or below Better Waste (AS 20); 1 council/gov slots</t>
        </is>
      </c>
      <c r="N3" s="6" t="inlineStr">
        <is>
          <t>P1</t>
        </is>
      </c>
      <c r="O3" s="7" t="inlineStr">
        <is>
          <t>thefirstmile.co.uk ranks p3</t>
        </is>
      </c>
    </row>
    <row r="4">
      <c r="A4" s="6" t="inlineStr">
        <is>
          <t>UK</t>
        </is>
      </c>
      <c r="B4" s="6" t="inlineStr">
        <is>
          <t>Gap vs competitors</t>
        </is>
      </c>
      <c r="C4" s="6" t="inlineStr">
        <is>
          <t>G - Skips</t>
        </is>
      </c>
      <c r="D4" s="7" t="inlineStr">
        <is>
          <t>https://betterwaste.co.uk/commercial-skip-hire/</t>
        </is>
      </c>
      <c r="E4" s="6" t="inlineStr">
        <is>
          <t>CREATE</t>
        </is>
      </c>
      <c r="F4" s="6" t="inlineStr">
        <is>
          <t>dimensions of skips</t>
        </is>
      </c>
      <c r="G4" s="6" t="inlineStr">
        <is>
          <t>Informational</t>
        </is>
      </c>
      <c r="H4" s="6" t="n">
        <v>1900</v>
      </c>
      <c r="I4" s="6" t="n">
        <v>9</v>
      </c>
      <c r="J4" s="6" t="inlineStr"/>
      <c r="K4" s="7" t="inlineStr"/>
      <c r="L4" s="8" t="inlineStr">
        <is>
          <t>EASY</t>
        </is>
      </c>
      <c r="M4" s="7" t="inlineStr">
        <is>
          <t>inherited from "skip sizes uk": AS 24 (tomwhitewaste), 12 (budgetskipsdirect), 12 (enterprise-skiphire), 11 (thewastemonkeys) - four sub-25 sites. CHECK SERVICE FIT: does Better Waste offer skips?</t>
        </is>
      </c>
      <c r="N4" s="6" t="inlineStr">
        <is>
          <t>P2</t>
        </is>
      </c>
      <c r="O4" s="7" t="inlineStr">
        <is>
          <t>CHECK SERVICE FIT</t>
        </is>
      </c>
    </row>
    <row r="5">
      <c r="A5" s="6" t="inlineStr">
        <is>
          <t>UK</t>
        </is>
      </c>
      <c r="B5" s="6" t="inlineStr">
        <is>
          <t>Gap vs competitors</t>
        </is>
      </c>
      <c r="C5" s="6" t="inlineStr">
        <is>
          <t>G - Other streams</t>
        </is>
      </c>
      <c r="D5" s="7" t="inlineStr">
        <is>
          <t>https://betterwaste.co.uk/it-equipment-disposal/</t>
        </is>
      </c>
      <c r="E5" s="6" t="inlineStr">
        <is>
          <t>CREATE</t>
        </is>
      </c>
      <c r="F5" s="6" t="inlineStr">
        <is>
          <t>digital waste</t>
        </is>
      </c>
      <c r="G5" s="6" t="inlineStr">
        <is>
          <t>Informational</t>
        </is>
      </c>
      <c r="H5" s="6" t="n">
        <v>1900</v>
      </c>
      <c r="I5" s="6" t="n">
        <v>22</v>
      </c>
      <c r="J5" s="6" t="inlineStr"/>
      <c r="K5" s="7" t="inlineStr"/>
      <c r="L5" s="8" t="inlineStr">
        <is>
          <t>EASY</t>
        </is>
      </c>
      <c r="M5" s="7" t="inlineStr">
        <is>
          <t>inherited from "it equipment disposal": AS 8, 19, 19, 20, 20 at or below Better Waste (AS 20)</t>
        </is>
      </c>
      <c r="N5" s="6" t="inlineStr">
        <is>
          <t>P3</t>
        </is>
      </c>
      <c r="O5" s="7" t="inlineStr">
        <is>
          <t>thefirstmile.co.uk ranks p3</t>
        </is>
      </c>
    </row>
    <row r="6">
      <c r="A6" s="6" t="inlineStr">
        <is>
          <t>UK</t>
        </is>
      </c>
      <c r="B6" s="6" t="inlineStr">
        <is>
          <t>Gap vs competitors</t>
        </is>
      </c>
      <c r="C6" s="6" t="inlineStr">
        <is>
          <t>G - Bin specs (abbreviated)</t>
        </is>
      </c>
      <c r="D6" s="7" t="inlineStr">
        <is>
          <t>https://betterwaste.co.uk/bins/240l-bin/</t>
        </is>
      </c>
      <c r="E6" s="6" t="inlineStr">
        <is>
          <t>OPTIMISE</t>
        </is>
      </c>
      <c r="F6" s="6" t="inlineStr">
        <is>
          <t>240 litre wheelie bin</t>
        </is>
      </c>
      <c r="G6" s="6" t="inlineStr">
        <is>
          <t>Informational + Transactional</t>
        </is>
      </c>
      <c r="H6" s="6" t="n">
        <v>1600</v>
      </c>
      <c r="I6" s="6" t="n">
        <v>8</v>
      </c>
      <c r="J6" s="6" t="inlineStr"/>
      <c r="K6" s="7" t="inlineStr"/>
      <c r="L6" s="8" t="inlineStr">
        <is>
          <t>EASY</t>
        </is>
      </c>
      <c r="M6" s="7" t="inlineStr">
        <is>
          <t>inherited from "1100l bin": AS 13 (wheeliebinwarehouse), 12 (sgmwastemanagement), 22 (bins.co.uk) at or below Better Waste - and the /bins/1100l-bin/ page already exists</t>
        </is>
      </c>
      <c r="N6" s="6" t="inlineStr">
        <is>
          <t>P1</t>
        </is>
      </c>
      <c r="O6" s="7" t="inlineStr">
        <is>
          <t>Page already exists; businesswaste ranks p9 | This is the form to target on this page (distinct SERP from the spelled-out variant).</t>
        </is>
      </c>
    </row>
    <row r="7">
      <c r="A7" s="6" t="inlineStr">
        <is>
          <t>UK</t>
        </is>
      </c>
      <c r="B7" s="6" t="inlineStr">
        <is>
          <t>Waste Type</t>
        </is>
      </c>
      <c r="C7" s="6" t="inlineStr">
        <is>
          <t>B - Missing streams</t>
        </is>
      </c>
      <c r="D7" s="7" t="inlineStr">
        <is>
          <t>https://betterwaste.co.uk/sanitary-waste/</t>
        </is>
      </c>
      <c r="E7" s="6" t="inlineStr">
        <is>
          <t>CREATE</t>
        </is>
      </c>
      <c r="F7" s="6" t="inlineStr">
        <is>
          <t>sanitary waste disposal</t>
        </is>
      </c>
      <c r="G7" s="6" t="inlineStr">
        <is>
          <t>Informational</t>
        </is>
      </c>
      <c r="H7" s="6" t="n">
        <v>1300</v>
      </c>
      <c r="I7" s="6" t="n">
        <v>10</v>
      </c>
      <c r="J7" s="6" t="inlineStr"/>
      <c r="K7" s="7" t="inlineStr"/>
      <c r="L7" s="8" t="inlineStr">
        <is>
          <t>EASY</t>
        </is>
      </c>
      <c r="M7" s="7" t="inlineStr">
        <is>
          <t>inherited from "sanitary waste collection": AS 9, 9, 13, 21 at or below Better Waste (AS 20)</t>
        </is>
      </c>
      <c r="N7" s="6" t="inlineStr">
        <is>
          <t>P1</t>
        </is>
      </c>
      <c r="O7" s="7" t="inlineStr">
        <is>
          <t>BEST ROI - lowest KD highest value. businesswaste p3</t>
        </is>
      </c>
    </row>
    <row r="8">
      <c r="A8" s="6" t="inlineStr">
        <is>
          <t>UK</t>
        </is>
      </c>
      <c r="B8" s="6" t="inlineStr">
        <is>
          <t>Waste Type</t>
        </is>
      </c>
      <c r="C8" s="6" t="inlineStr">
        <is>
          <t>B - Missing streams</t>
        </is>
      </c>
      <c r="D8" s="7" t="inlineStr">
        <is>
          <t>https://betterwaste.co.uk/sanitary-waste/</t>
        </is>
      </c>
      <c r="E8" s="6" t="inlineStr">
        <is>
          <t>CREATE</t>
        </is>
      </c>
      <c r="F8" s="6" t="inlineStr">
        <is>
          <t>sanitary waste collection</t>
        </is>
      </c>
      <c r="G8" s="6" t="inlineStr">
        <is>
          <t>Commercial</t>
        </is>
      </c>
      <c r="H8" s="6" t="n">
        <v>1300</v>
      </c>
      <c r="I8" s="6" t="n">
        <v>17</v>
      </c>
      <c r="J8" s="6" t="inlineStr"/>
      <c r="K8" s="7" t="inlineStr"/>
      <c r="L8" s="8" t="inlineStr">
        <is>
          <t>EASY</t>
        </is>
      </c>
      <c r="M8" s="7" t="inlineStr">
        <is>
          <t>AS 9, 9, 13, 21 at or below Better Waste (AS 20)</t>
        </is>
      </c>
      <c r="N8" s="6" t="inlineStr">
        <is>
          <t>P1</t>
        </is>
      </c>
      <c r="O8" s="7" t="inlineStr">
        <is>
          <t>businesswaste.co.uk p4</t>
        </is>
      </c>
    </row>
    <row r="9">
      <c r="A9" s="6" t="inlineStr">
        <is>
          <t>UK</t>
        </is>
      </c>
      <c r="B9" s="6" t="inlineStr">
        <is>
          <t>Gap vs competitors</t>
        </is>
      </c>
      <c r="C9" s="6" t="inlineStr">
        <is>
          <t>G - Skips</t>
        </is>
      </c>
      <c r="D9" s="7" t="inlineStr">
        <is>
          <t>https://betterwaste.co.uk/commercial-skip-hire/</t>
        </is>
      </c>
      <c r="E9" s="6" t="inlineStr">
        <is>
          <t>CREATE</t>
        </is>
      </c>
      <c r="F9" s="6" t="inlineStr">
        <is>
          <t>commercial skip hire</t>
        </is>
      </c>
      <c r="G9" s="6" t="inlineStr">
        <is>
          <t>Commercial</t>
        </is>
      </c>
      <c r="H9" s="6" t="n">
        <v>1300</v>
      </c>
      <c r="I9" s="6" t="n">
        <v>11</v>
      </c>
      <c r="J9" s="6" t="inlineStr"/>
      <c r="K9" s="7" t="inlineStr"/>
      <c r="L9" s="8" t="inlineStr">
        <is>
          <t>EASY</t>
        </is>
      </c>
      <c r="M9" s="7" t="inlineStr">
        <is>
          <t>inherited from "skip sizes uk": AS 24 (tomwhitewaste), 12 (budgetskipsdirect), 12 (enterprise-skiphire), 11 (thewastemonkeys) - four sub-25 sites. CHECK SERVICE FIT: does Better Waste offer skips?</t>
        </is>
      </c>
      <c r="N9" s="6" t="inlineStr">
        <is>
          <t>P2</t>
        </is>
      </c>
      <c r="O9" s="7" t="inlineStr">
        <is>
          <t>CHECK SERVICE FIT</t>
        </is>
      </c>
    </row>
    <row r="10">
      <c r="A10" s="6" t="inlineStr">
        <is>
          <t>UK</t>
        </is>
      </c>
      <c r="B10" s="6" t="inlineStr">
        <is>
          <t>Gap vs competitors</t>
        </is>
      </c>
      <c r="C10" s="6" t="inlineStr">
        <is>
          <t>G - Skips</t>
        </is>
      </c>
      <c r="D10" s="7" t="inlineStr">
        <is>
          <t>https://betterwaste.co.uk/commercial-skip-hire/</t>
        </is>
      </c>
      <c r="E10" s="6" t="inlineStr">
        <is>
          <t>CREATE</t>
        </is>
      </c>
      <c r="F10" s="6" t="inlineStr">
        <is>
          <t>skip dimensions uk</t>
        </is>
      </c>
      <c r="G10" s="6" t="inlineStr">
        <is>
          <t>Informational</t>
        </is>
      </c>
      <c r="H10" s="6" t="n">
        <v>1300</v>
      </c>
      <c r="I10" s="6" t="n">
        <v>11</v>
      </c>
      <c r="J10" s="6" t="inlineStr"/>
      <c r="K10" s="7" t="inlineStr"/>
      <c r="L10" s="8" t="inlineStr">
        <is>
          <t>EASY</t>
        </is>
      </c>
      <c r="M10" s="7" t="inlineStr">
        <is>
          <t>inherited from "skip sizes uk": AS 24 (tomwhitewaste), 12 (budgetskipsdirect), 12 (enterprise-skiphire), 11 (thewastemonkeys) - four sub-25 sites. CHECK SERVICE FIT: does Better Waste offer skips?</t>
        </is>
      </c>
      <c r="N10" s="6" t="inlineStr">
        <is>
          <t>P3</t>
        </is>
      </c>
      <c r="O10" s="7" t="inlineStr">
        <is>
          <t>CHECK SERVICE FIT</t>
        </is>
      </c>
    </row>
    <row r="11">
      <c r="A11" s="6" t="inlineStr">
        <is>
          <t>UK</t>
        </is>
      </c>
      <c r="B11" s="6" t="inlineStr">
        <is>
          <t>Gap vs competitors</t>
        </is>
      </c>
      <c r="C11" s="6" t="inlineStr">
        <is>
          <t>G - Shredding &amp; data</t>
        </is>
      </c>
      <c r="D11" s="7" t="inlineStr">
        <is>
          <t>https://betterwaste.co.uk/confidential-waste/</t>
        </is>
      </c>
      <c r="E11" s="6" t="inlineStr">
        <is>
          <t>CREATE</t>
        </is>
      </c>
      <c r="F11" s="6" t="inlineStr">
        <is>
          <t>document shredding</t>
        </is>
      </c>
      <c r="G11" s="6" t="inlineStr">
        <is>
          <t>Commercial</t>
        </is>
      </c>
      <c r="H11" s="6" t="n">
        <v>1300</v>
      </c>
      <c r="I11" s="6" t="n">
        <v>25</v>
      </c>
      <c r="J11" s="6" t="inlineStr"/>
      <c r="K11" s="7" t="inlineStr"/>
      <c r="L11" s="8" t="inlineStr">
        <is>
          <t>EASY</t>
        </is>
      </c>
      <c r="M11" s="7" t="inlineStr">
        <is>
          <t>simply-shredding AS 16 and doxbond AS 10 both rank, alongside homeshreduk, shredstation, sdsecureshredding and goshred - the same small-operator set as confidential waste collection</t>
        </is>
      </c>
      <c r="N11" s="6" t="inlineStr">
        <is>
          <t>P1</t>
        </is>
      </c>
      <c r="O11" s="7" t="inlineStr">
        <is>
          <t>Small shredders dominate; Restore AS 37 is the only large player</t>
        </is>
      </c>
    </row>
    <row r="12">
      <c r="A12" s="6" t="inlineStr">
        <is>
          <t>UK</t>
        </is>
      </c>
      <c r="B12" s="6" t="inlineStr">
        <is>
          <t>Waste Type</t>
        </is>
      </c>
      <c r="C12" s="6" t="inlineStr">
        <is>
          <t>B - Missing streams</t>
        </is>
      </c>
      <c r="D12" s="7" t="inlineStr">
        <is>
          <t>https://betterwaste.co.uk/confidential-waste/</t>
        </is>
      </c>
      <c r="E12" s="6" t="inlineStr">
        <is>
          <t>CREATE</t>
        </is>
      </c>
      <c r="F12" s="6" t="inlineStr">
        <is>
          <t>confidential waste collection</t>
        </is>
      </c>
      <c r="G12" s="6" t="inlineStr">
        <is>
          <t>Commercial</t>
        </is>
      </c>
      <c r="H12" s="6" t="n">
        <v>1000</v>
      </c>
      <c r="I12" s="6" t="n">
        <v>13</v>
      </c>
      <c r="J12" s="6" t="inlineStr"/>
      <c r="K12" s="7" t="inlineStr"/>
      <c r="L12" s="8" t="inlineStr">
        <is>
          <t>EASY</t>
        </is>
      </c>
      <c r="M12" s="7" t="inlineStr">
        <is>
          <t>AS 6, 9, 10, 16 at or below Better Waste (AS 20)</t>
        </is>
      </c>
      <c r="N12" s="6" t="inlineStr">
        <is>
          <t>P1</t>
        </is>
      </c>
      <c r="O12" s="7" t="inlineStr">
        <is>
          <t>Very low KD</t>
        </is>
      </c>
    </row>
    <row r="13">
      <c r="A13" s="6" t="inlineStr">
        <is>
          <t>UK</t>
        </is>
      </c>
      <c r="B13" s="6" t="inlineStr">
        <is>
          <t>Waste Type</t>
        </is>
      </c>
      <c r="C13" s="6" t="inlineStr">
        <is>
          <t>B - Missing streams</t>
        </is>
      </c>
      <c r="D13" s="7" t="inlineStr">
        <is>
          <t>https://betterwaste.co.uk/confidential-waste/</t>
        </is>
      </c>
      <c r="E13" s="6" t="inlineStr">
        <is>
          <t>CREATE</t>
        </is>
      </c>
      <c r="F13" s="6" t="inlineStr">
        <is>
          <t>confidential shredding</t>
        </is>
      </c>
      <c r="G13" s="6" t="inlineStr">
        <is>
          <t>Commercial</t>
        </is>
      </c>
      <c r="H13" s="6" t="n">
        <v>1000</v>
      </c>
      <c r="I13" s="6" t="n">
        <v>16</v>
      </c>
      <c r="J13" s="6" t="inlineStr"/>
      <c r="K13" s="7" t="inlineStr"/>
      <c r="L13" s="8" t="inlineStr">
        <is>
          <t>EASY</t>
        </is>
      </c>
      <c r="M13" s="7" t="inlineStr">
        <is>
          <t>inherited from "confidential waste collection": AS 6, 9, 10, 16 at or below Better Waste (AS 20)</t>
        </is>
      </c>
      <c r="N13" s="6" t="inlineStr">
        <is>
          <t>P1</t>
        </is>
      </c>
      <c r="O13" s="7" t="inlineStr"/>
    </row>
    <row r="14">
      <c r="A14" s="6" t="inlineStr">
        <is>
          <t>UK</t>
        </is>
      </c>
      <c r="B14" s="6" t="inlineStr">
        <is>
          <t>Gap vs competitors</t>
        </is>
      </c>
      <c r="C14" s="6" t="inlineStr">
        <is>
          <t>G - Bin specs (abbreviated)</t>
        </is>
      </c>
      <c r="D14" s="7" t="inlineStr">
        <is>
          <t>https://betterwaste.co.uk/bins/1100l-bin/</t>
        </is>
      </c>
      <c r="E14" s="6" t="inlineStr">
        <is>
          <t>OPTIMISE</t>
        </is>
      </c>
      <c r="F14" s="6" t="inlineStr">
        <is>
          <t>1100l wheelie bin</t>
        </is>
      </c>
      <c r="G14" s="6" t="inlineStr">
        <is>
          <t>Informational</t>
        </is>
      </c>
      <c r="H14" s="6" t="n">
        <v>1000</v>
      </c>
      <c r="I14" s="6" t="n">
        <v>12</v>
      </c>
      <c r="J14" s="6" t="inlineStr"/>
      <c r="K14" s="7" t="inlineStr"/>
      <c r="L14" s="8" t="inlineStr">
        <is>
          <t>EASY</t>
        </is>
      </c>
      <c r="M14" s="7" t="inlineStr">
        <is>
          <t>inherited from "1100l bin": AS 13 (wheeliebinwarehouse), 12 (sgmwastemanagement), 22 (bins.co.uk) at or below Better Waste - and the /bins/1100l-bin/ page already exists</t>
        </is>
      </c>
      <c r="N14" s="6" t="inlineStr">
        <is>
          <t>P1</t>
        </is>
      </c>
      <c r="O14" s="7" t="inlineStr">
        <is>
          <t>Page already exists; businesswaste ranks p5 | This is the form to target on this page (distinct SERP from the spelled-out variant).</t>
        </is>
      </c>
    </row>
    <row r="15">
      <c r="A15" s="6" t="inlineStr">
        <is>
          <t>UK</t>
        </is>
      </c>
      <c r="B15" s="6" t="inlineStr">
        <is>
          <t>Gap vs competitors</t>
        </is>
      </c>
      <c r="C15" s="6" t="inlineStr">
        <is>
          <t>G - Bin specs (abbreviated)</t>
        </is>
      </c>
      <c r="D15" s="7" t="inlineStr">
        <is>
          <t>https://betterwaste.co.uk/binpedia/</t>
        </is>
      </c>
      <c r="E15" s="6" t="inlineStr">
        <is>
          <t>OPTIMISE</t>
        </is>
      </c>
      <c r="F15" s="6" t="inlineStr">
        <is>
          <t>wheelie bin sizes</t>
        </is>
      </c>
      <c r="G15" s="6" t="inlineStr">
        <is>
          <t>Informational</t>
        </is>
      </c>
      <c r="H15" s="6" t="n">
        <v>1000</v>
      </c>
      <c r="I15" s="6" t="n">
        <v>10</v>
      </c>
      <c r="J15" s="6" t="inlineStr"/>
      <c r="K15" s="7" t="inlineStr"/>
      <c r="L15" s="8" t="inlineStr">
        <is>
          <t>EASY</t>
        </is>
      </c>
      <c r="M15" s="7" t="inlineStr">
        <is>
          <t>inherited from "1100l bin": AS 13 (wheeliebinwarehouse), 12 (sgmwastemanagement), 22 (bins.co.uk) at or below Better Waste - and the /bins/1100l-bin/ page already exists</t>
        </is>
      </c>
      <c r="N15" s="6" t="inlineStr">
        <is>
          <t>P1</t>
        </is>
      </c>
      <c r="O15" s="7" t="inlineStr">
        <is>
          <t>businesswaste ranks p8 | This is the form to target on this page (distinct SERP from the spelled-out variant).</t>
        </is>
      </c>
    </row>
    <row r="16">
      <c r="A16" s="6" t="inlineStr">
        <is>
          <t>UK</t>
        </is>
      </c>
      <c r="B16" s="6" t="inlineStr">
        <is>
          <t>Gap vs competitors</t>
        </is>
      </c>
      <c r="C16" s="6" t="inlineStr">
        <is>
          <t>G - Other streams</t>
        </is>
      </c>
      <c r="D16" s="7" t="inlineStr">
        <is>
          <t>https://betterwaste.co.uk/paper-and-cardboard-waste/</t>
        </is>
      </c>
      <c r="E16" s="6" t="inlineStr">
        <is>
          <t>OPTIMISE</t>
        </is>
      </c>
      <c r="F16" s="6" t="inlineStr">
        <is>
          <t>cardboard recycling collection</t>
        </is>
      </c>
      <c r="G16" s="6" t="inlineStr">
        <is>
          <t>Commercial</t>
        </is>
      </c>
      <c r="H16" s="6" t="n">
        <v>1000</v>
      </c>
      <c r="I16" s="6" t="n">
        <v>10</v>
      </c>
      <c r="J16" s="6" t="inlineStr"/>
      <c r="K16" s="7" t="inlineStr"/>
      <c r="L16" s="8" t="inlineStr">
        <is>
          <t>EASY</t>
        </is>
      </c>
      <c r="M16" s="7" t="inlineStr">
        <is>
          <t>inherited from "business cardboard recycling": AS 16, 18, 20 at or below Better Waste (AS 20)</t>
        </is>
      </c>
      <c r="N16" s="6" t="inlineStr">
        <is>
          <t>P2</t>
        </is>
      </c>
      <c r="O16" s="7" t="inlineStr">
        <is>
          <t>Map to paper/cardboard page; thefirstmile ranks p2</t>
        </is>
      </c>
    </row>
    <row r="17">
      <c r="A17" s="6" t="inlineStr">
        <is>
          <t>UK</t>
        </is>
      </c>
      <c r="B17" s="6" t="inlineStr">
        <is>
          <t>Gap vs competitors</t>
        </is>
      </c>
      <c r="C17" s="6" t="inlineStr">
        <is>
          <t>G - Other streams</t>
        </is>
      </c>
      <c r="D17" s="7" t="inlineStr">
        <is>
          <t>https://betterwaste.co.uk/paper-and-cardboard-waste/</t>
        </is>
      </c>
      <c r="E17" s="6" t="inlineStr">
        <is>
          <t>OPTIMISE</t>
        </is>
      </c>
      <c r="F17" s="6" t="inlineStr">
        <is>
          <t>paper recycling</t>
        </is>
      </c>
      <c r="G17" s="6" t="inlineStr">
        <is>
          <t>Commercial</t>
        </is>
      </c>
      <c r="H17" s="6" t="n">
        <v>1000</v>
      </c>
      <c r="I17" s="6" t="n">
        <v>19</v>
      </c>
      <c r="J17" s="6" t="inlineStr"/>
      <c r="K17" s="7" t="inlineStr"/>
      <c r="L17" s="8" t="inlineStr">
        <is>
          <t>EASY</t>
        </is>
      </c>
      <c r="M17" s="7" t="inlineStr">
        <is>
          <t>inherited from "business cardboard recycling": AS 16, 18, 20 at or below Better Waste (AS 20)</t>
        </is>
      </c>
      <c r="N17" s="6" t="inlineStr">
        <is>
          <t>P2</t>
        </is>
      </c>
      <c r="O17" s="7" t="inlineStr">
        <is>
          <t>thefirstmile.co.uk ranks p5</t>
        </is>
      </c>
    </row>
    <row r="18">
      <c r="A18" s="6" t="inlineStr">
        <is>
          <t>UK</t>
        </is>
      </c>
      <c r="B18" s="6" t="inlineStr">
        <is>
          <t>Gap vs competitors</t>
        </is>
      </c>
      <c r="C18" s="6" t="inlineStr">
        <is>
          <t>G - Other streams</t>
        </is>
      </c>
      <c r="D18" s="7" t="inlineStr">
        <is>
          <t>https://betterwaste.co.uk/dry-mixed-recycling-waste/</t>
        </is>
      </c>
      <c r="E18" s="6" t="inlineStr">
        <is>
          <t>OPTIMISE</t>
        </is>
      </c>
      <c r="F18" s="6" t="inlineStr">
        <is>
          <t>soft plastic recycling</t>
        </is>
      </c>
      <c r="G18" s="6" t="inlineStr">
        <is>
          <t>Informational</t>
        </is>
      </c>
      <c r="H18" s="6" t="n">
        <v>1000</v>
      </c>
      <c r="I18" s="6" t="n">
        <v>18</v>
      </c>
      <c r="J18" s="6" t="inlineStr"/>
      <c r="K18" s="7" t="inlineStr"/>
      <c r="L18" s="8" t="inlineStr">
        <is>
          <t>EASY</t>
        </is>
      </c>
      <c r="M18" s="7" t="inlineStr">
        <is>
          <t>inherited from "business cardboard recycling": AS 16, 18, 20 at or below Better Waste (AS 20)</t>
        </is>
      </c>
      <c r="N18" s="6" t="inlineStr">
        <is>
          <t>P3</t>
        </is>
      </c>
      <c r="O18" s="7" t="inlineStr">
        <is>
          <t>thefirstmile.co.uk ranks p3</t>
        </is>
      </c>
    </row>
    <row r="19">
      <c r="A19" s="6" t="inlineStr">
        <is>
          <t>UK</t>
        </is>
      </c>
      <c r="B19" s="6" t="inlineStr">
        <is>
          <t>Gap vs competitors</t>
        </is>
      </c>
      <c r="C19" s="6" t="inlineStr">
        <is>
          <t>G - Bin specs (abbreviated)</t>
        </is>
      </c>
      <c r="D19" s="7" t="inlineStr">
        <is>
          <t>https://betterwaste.co.uk/bins/660l-bin/</t>
        </is>
      </c>
      <c r="E19" s="6" t="inlineStr">
        <is>
          <t>OPTIMISE</t>
        </is>
      </c>
      <c r="F19" s="6" t="inlineStr">
        <is>
          <t>660l bin</t>
        </is>
      </c>
      <c r="G19" s="6" t="inlineStr">
        <is>
          <t>Informational</t>
        </is>
      </c>
      <c r="H19" s="6" t="n">
        <v>880</v>
      </c>
      <c r="I19" s="6" t="n">
        <v>9</v>
      </c>
      <c r="J19" s="6" t="inlineStr"/>
      <c r="K19" s="7" t="inlineStr"/>
      <c r="L19" s="8" t="inlineStr">
        <is>
          <t>EASY</t>
        </is>
      </c>
      <c r="M19" s="7" t="inlineStr">
        <is>
          <t>inherited from "1100l bin": AS 13 (wheeliebinwarehouse), 12 (sgmwastemanagement), 22 (bins.co.uk) at or below Better Waste - and the /bins/1100l-bin/ page already exists</t>
        </is>
      </c>
      <c r="N19" s="6" t="inlineStr">
        <is>
          <t>P1</t>
        </is>
      </c>
      <c r="O19" s="7" t="inlineStr">
        <is>
          <t>Page already exists; businesswaste ranks p4 | This is the form to target on this page (distinct SERP from the spelled-out variant).</t>
        </is>
      </c>
    </row>
    <row r="20">
      <c r="A20" s="6" t="inlineStr">
        <is>
          <t>UK</t>
        </is>
      </c>
      <c r="B20" s="6" t="inlineStr">
        <is>
          <t>Gap vs competitors</t>
        </is>
      </c>
      <c r="C20" s="6" t="inlineStr">
        <is>
          <t>G - Bin specs (abbreviated)</t>
        </is>
      </c>
      <c r="D20" s="7" t="inlineStr">
        <is>
          <t>https://betterwaste.co.uk/bins/660l-bin/</t>
        </is>
      </c>
      <c r="E20" s="6" t="inlineStr">
        <is>
          <t>OPTIMISE</t>
        </is>
      </c>
      <c r="F20" s="6" t="inlineStr">
        <is>
          <t>660 litre wheelie bin</t>
        </is>
      </c>
      <c r="G20" s="6" t="inlineStr">
        <is>
          <t>Informational</t>
        </is>
      </c>
      <c r="H20" s="6" t="n">
        <v>880</v>
      </c>
      <c r="I20" s="6" t="n">
        <v>6</v>
      </c>
      <c r="J20" s="6" t="inlineStr"/>
      <c r="K20" s="7" t="inlineStr"/>
      <c r="L20" s="8" t="inlineStr">
        <is>
          <t>EASY</t>
        </is>
      </c>
      <c r="M20" s="7" t="inlineStr">
        <is>
          <t>inherited from "1100l bin": AS 13 (wheeliebinwarehouse), 12 (sgmwastemanagement), 22 (bins.co.uk) at or below Better Waste - and the /bins/1100l-bin/ page already exists</t>
        </is>
      </c>
      <c r="N20" s="6" t="inlineStr">
        <is>
          <t>P1</t>
        </is>
      </c>
      <c r="O20" s="7" t="inlineStr">
        <is>
          <t>Page already exists; businesswaste ranks p6 | This is the form to target on this page (distinct SERP from the spelled-out variant).</t>
        </is>
      </c>
    </row>
    <row r="21">
      <c r="A21" s="6" t="inlineStr">
        <is>
          <t>UK</t>
        </is>
      </c>
      <c r="B21" s="6" t="inlineStr">
        <is>
          <t>Gap vs competitors</t>
        </is>
      </c>
      <c r="C21" s="6" t="inlineStr">
        <is>
          <t>G - Bin specs (abbreviated)</t>
        </is>
      </c>
      <c r="D21" s="7" t="inlineStr">
        <is>
          <t>https://betterwaste.co.uk/bins/1100l-bin/</t>
        </is>
      </c>
      <c r="E21" s="6" t="inlineStr">
        <is>
          <t>OPTIMISE</t>
        </is>
      </c>
      <c r="F21" s="6" t="inlineStr">
        <is>
          <t>1100l bin</t>
        </is>
      </c>
      <c r="G21" s="6" t="inlineStr">
        <is>
          <t>Informational</t>
        </is>
      </c>
      <c r="H21" s="6" t="n">
        <v>880</v>
      </c>
      <c r="I21" s="6" t="n">
        <v>11</v>
      </c>
      <c r="J21" s="6" t="inlineStr"/>
      <c r="K21" s="7" t="inlineStr"/>
      <c r="L21" s="8" t="inlineStr">
        <is>
          <t>EASY</t>
        </is>
      </c>
      <c r="M21" s="7" t="inlineStr">
        <is>
          <t>AS 13 (wheeliebinwarehouse), 12 (sgmwastemanagement), 22 (bins.co.uk) at or below Better Waste - and the /bins/1100l-bin/ page already exists</t>
        </is>
      </c>
      <c r="N21" s="6" t="inlineStr">
        <is>
          <t>P1</t>
        </is>
      </c>
      <c r="O21" s="7" t="inlineStr">
        <is>
          <t>Page already exists; businesswaste ranks p4 | This is the form to target on this page (distinct SERP from the spelled-out variant).</t>
        </is>
      </c>
    </row>
    <row r="22">
      <c r="A22" s="6" t="inlineStr">
        <is>
          <t>UK</t>
        </is>
      </c>
      <c r="B22" s="6" t="inlineStr">
        <is>
          <t>Gap vs competitors</t>
        </is>
      </c>
      <c r="C22" s="6" t="inlineStr">
        <is>
          <t>G - Shredding &amp; data</t>
        </is>
      </c>
      <c r="D22" s="7" t="inlineStr">
        <is>
          <t>https://betterwaste.co.uk/confidential-waste/</t>
        </is>
      </c>
      <c r="E22" s="6" t="inlineStr">
        <is>
          <t>CREATE</t>
        </is>
      </c>
      <c r="F22" s="6" t="inlineStr">
        <is>
          <t>secure data destruction</t>
        </is>
      </c>
      <c r="G22" s="6" t="inlineStr">
        <is>
          <t>Informational</t>
        </is>
      </c>
      <c r="H22" s="6" t="n">
        <v>880</v>
      </c>
      <c r="I22" s="6" t="n">
        <v>9</v>
      </c>
      <c r="J22" s="6" t="inlineStr"/>
      <c r="K22" s="7" t="inlineStr"/>
      <c r="L22" s="8" t="inlineStr">
        <is>
          <t>EASY</t>
        </is>
      </c>
      <c r="M22" s="7" t="inlineStr">
        <is>
          <t>inherited from "document shredding": simply-shredding AS 16 and doxbond AS 10 both rank, alongside homeshreduk, shredstation, sdsecureshredding and goshred - the same small-operator set as confidential waste collection</t>
        </is>
      </c>
      <c r="N22" s="6" t="inlineStr">
        <is>
          <t>P1</t>
        </is>
      </c>
      <c r="O22" s="7" t="inlineStr">
        <is>
          <t>recorra ranks p6. KD 9</t>
        </is>
      </c>
    </row>
    <row r="23">
      <c r="A23" s="6" t="inlineStr">
        <is>
          <t>UK</t>
        </is>
      </c>
      <c r="B23" s="6" t="inlineStr">
        <is>
          <t>Gap vs competitors</t>
        </is>
      </c>
      <c r="C23" s="6" t="inlineStr">
        <is>
          <t>G - Other streams</t>
        </is>
      </c>
      <c r="D23" s="7" t="inlineStr">
        <is>
          <t>https://betterwaste.co.uk/paper-and-cardboard-waste/</t>
        </is>
      </c>
      <c r="E23" s="6" t="inlineStr">
        <is>
          <t>OPTIMISE</t>
        </is>
      </c>
      <c r="F23" s="6" t="inlineStr">
        <is>
          <t>commercial cardboard recycling</t>
        </is>
      </c>
      <c r="G23" s="6" t="inlineStr">
        <is>
          <t>Commercial</t>
        </is>
      </c>
      <c r="H23" s="6" t="n">
        <v>880</v>
      </c>
      <c r="I23" s="6" t="n">
        <v>16</v>
      </c>
      <c r="J23" s="6" t="inlineStr"/>
      <c r="K23" s="7" t="inlineStr"/>
      <c r="L23" s="8" t="inlineStr">
        <is>
          <t>EASY</t>
        </is>
      </c>
      <c r="M23" s="7" t="inlineStr">
        <is>
          <t>inherited from "business cardboard recycling": AS 16, 18, 20 at or below Better Waste (AS 20)</t>
        </is>
      </c>
      <c r="N23" s="6" t="inlineStr">
        <is>
          <t>P2</t>
        </is>
      </c>
      <c r="O23" s="7" t="inlineStr">
        <is>
          <t>recorra.co.uk ranks p8</t>
        </is>
      </c>
    </row>
    <row r="24">
      <c r="A24" s="6" t="inlineStr">
        <is>
          <t>UK</t>
        </is>
      </c>
      <c r="B24" s="6" t="inlineStr">
        <is>
          <t>Gap vs competitors</t>
        </is>
      </c>
      <c r="C24" s="6" t="inlineStr">
        <is>
          <t>G - Bin specs (abbreviated)</t>
        </is>
      </c>
      <c r="D24" s="7" t="inlineStr">
        <is>
          <t>https://betterwaste.co.uk/bins/360l-bin/</t>
        </is>
      </c>
      <c r="E24" s="6" t="inlineStr">
        <is>
          <t>OPTIMISE</t>
        </is>
      </c>
      <c r="F24" s="6" t="inlineStr">
        <is>
          <t>360l bin</t>
        </is>
      </c>
      <c r="G24" s="6" t="inlineStr">
        <is>
          <t>Commercial</t>
        </is>
      </c>
      <c r="H24" s="6" t="n">
        <v>720</v>
      </c>
      <c r="I24" s="6" t="n">
        <v>9</v>
      </c>
      <c r="J24" s="6" t="inlineStr"/>
      <c r="K24" s="7" t="inlineStr"/>
      <c r="L24" s="8" t="inlineStr">
        <is>
          <t>EASY</t>
        </is>
      </c>
      <c r="M24" s="7" t="inlineStr">
        <is>
          <t>inherited from "1100l bin": AS 13 (wheeliebinwarehouse), 12 (sgmwastemanagement), 22 (bins.co.uk) at or below Better Waste - and the /bins/1100l-bin/ page already exists</t>
        </is>
      </c>
      <c r="N24" s="6" t="inlineStr">
        <is>
          <t>P2</t>
        </is>
      </c>
      <c r="O24" s="7" t="inlineStr">
        <is>
          <t>Page already exists; businesswaste ranks p4 | This is the form to target on this page (distinct SERP from the spelled-out variant).</t>
        </is>
      </c>
    </row>
    <row r="25">
      <c r="A25" s="6" t="inlineStr">
        <is>
          <t>UK</t>
        </is>
      </c>
      <c r="B25" s="6" t="inlineStr">
        <is>
          <t>Gap vs competitors</t>
        </is>
      </c>
      <c r="C25" s="6" t="inlineStr">
        <is>
          <t>G - Skips</t>
        </is>
      </c>
      <c r="D25" s="7" t="inlineStr">
        <is>
          <t>https://betterwaste.co.uk/commercial-skip-hire/</t>
        </is>
      </c>
      <c r="E25" s="6" t="inlineStr">
        <is>
          <t>CREATE</t>
        </is>
      </c>
      <c r="F25" s="6" t="inlineStr">
        <is>
          <t>2 yard skip size</t>
        </is>
      </c>
      <c r="G25" s="6" t="inlineStr">
        <is>
          <t>Informational</t>
        </is>
      </c>
      <c r="H25" s="6" t="n">
        <v>720</v>
      </c>
      <c r="I25" s="6" t="n">
        <v>8</v>
      </c>
      <c r="J25" s="6" t="inlineStr"/>
      <c r="K25" s="7" t="inlineStr"/>
      <c r="L25" s="8" t="inlineStr">
        <is>
          <t>EASY</t>
        </is>
      </c>
      <c r="M25" s="7" t="inlineStr">
        <is>
          <t>inherited from "skip sizes uk": AS 24 (tomwhitewaste), 12 (budgetskipsdirect), 12 (enterprise-skiphire), 11 (thewastemonkeys) - four sub-25 sites. CHECK SERVICE FIT: does Better Waste offer skips?</t>
        </is>
      </c>
      <c r="N25" s="6" t="inlineStr">
        <is>
          <t>P3</t>
        </is>
      </c>
      <c r="O25" s="7" t="inlineStr">
        <is>
          <t>CHECK SERVICE FIT</t>
        </is>
      </c>
    </row>
    <row r="26">
      <c r="A26" s="6" t="inlineStr">
        <is>
          <t>UK</t>
        </is>
      </c>
      <c r="B26" s="6" t="inlineStr">
        <is>
          <t>Gap vs competitors</t>
        </is>
      </c>
      <c r="C26" s="6" t="inlineStr">
        <is>
          <t>G - Shredding &amp; data</t>
        </is>
      </c>
      <c r="D26" s="7" t="inlineStr">
        <is>
          <t>https://betterwaste.co.uk/confidential-waste/</t>
        </is>
      </c>
      <c r="E26" s="6" t="inlineStr">
        <is>
          <t>CREATE</t>
        </is>
      </c>
      <c r="F26" s="6" t="inlineStr">
        <is>
          <t>hard drive destruction</t>
        </is>
      </c>
      <c r="G26" s="6" t="inlineStr">
        <is>
          <t>Transactional</t>
        </is>
      </c>
      <c r="H26" s="6" t="n">
        <v>720</v>
      </c>
      <c r="I26" s="6" t="n">
        <v>9</v>
      </c>
      <c r="J26" s="6" t="inlineStr"/>
      <c r="K26" s="7" t="inlineStr"/>
      <c r="L26" s="8" t="inlineStr">
        <is>
          <t>EASY</t>
        </is>
      </c>
      <c r="M26" s="7" t="inlineStr">
        <is>
          <t>inherited from "document shredding": simply-shredding AS 16 and doxbond AS 10 both rank, alongside homeshreduk, shredstation, sdsecureshredding and goshred - the same small-operator set as confidential waste collection</t>
        </is>
      </c>
      <c r="N26" s="6" t="inlineStr">
        <is>
          <t>P1</t>
        </is>
      </c>
      <c r="O26" s="7" t="inlineStr">
        <is>
          <t>Transactional intent, KD 9</t>
        </is>
      </c>
    </row>
    <row r="27">
      <c r="A27" s="6" t="inlineStr">
        <is>
          <t>UK</t>
        </is>
      </c>
      <c r="B27" s="6" t="inlineStr">
        <is>
          <t>Waste Type</t>
        </is>
      </c>
      <c r="C27" s="6" t="inlineStr">
        <is>
          <t>B - Missing streams</t>
        </is>
      </c>
      <c r="D27" s="7" t="inlineStr">
        <is>
          <t>https://betterwaste.co.uk/it-equipment-disposal/</t>
        </is>
      </c>
      <c r="E27" s="6" t="inlineStr">
        <is>
          <t>CREATE</t>
        </is>
      </c>
      <c r="F27" s="6" t="inlineStr">
        <is>
          <t>it equipment disposal</t>
        </is>
      </c>
      <c r="G27" s="6" t="inlineStr">
        <is>
          <t>Commercial</t>
        </is>
      </c>
      <c r="H27" s="6" t="n">
        <v>590</v>
      </c>
      <c r="I27" s="6" t="n">
        <v>37</v>
      </c>
      <c r="J27" s="6" t="inlineStr"/>
      <c r="K27" s="7" t="inlineStr"/>
      <c r="L27" s="8" t="inlineStr">
        <is>
          <t>EASY</t>
        </is>
      </c>
      <c r="M27" s="7" t="inlineStr">
        <is>
          <t>AS 8, 19, 19, 20, 20 at or below Better Waste (AS 20)</t>
        </is>
      </c>
      <c r="N27" s="6" t="inlineStr">
        <is>
          <t>P3</t>
        </is>
      </c>
      <c r="O27" s="7" t="inlineStr"/>
    </row>
    <row r="28">
      <c r="A28" s="6" t="inlineStr">
        <is>
          <t>UK</t>
        </is>
      </c>
      <c r="B28" s="6" t="inlineStr">
        <is>
          <t>Gap vs competitors</t>
        </is>
      </c>
      <c r="C28" s="6" t="inlineStr">
        <is>
          <t>G - Shredding &amp; data</t>
        </is>
      </c>
      <c r="D28" s="7" t="inlineStr">
        <is>
          <t>https://betterwaste.co.uk/confidential-waste/</t>
        </is>
      </c>
      <c r="E28" s="6" t="inlineStr">
        <is>
          <t>CREATE</t>
        </is>
      </c>
      <c r="F28" s="6" t="inlineStr">
        <is>
          <t>shredding service</t>
        </is>
      </c>
      <c r="G28" s="6" t="inlineStr">
        <is>
          <t>Commercial</t>
        </is>
      </c>
      <c r="H28" s="6" t="n">
        <v>590</v>
      </c>
      <c r="I28" s="6" t="n">
        <v>20</v>
      </c>
      <c r="J28" s="6" t="inlineStr"/>
      <c r="K28" s="7" t="inlineStr"/>
      <c r="L28" s="8" t="inlineStr">
        <is>
          <t>EASY</t>
        </is>
      </c>
      <c r="M28" s="7" t="inlineStr">
        <is>
          <t>inherited from "document shredding": simply-shredding AS 16 and doxbond AS 10 both rank, alongside homeshreduk, shredstation, sdsecureshredding and goshred - the same small-operator set as confidential waste collection</t>
        </is>
      </c>
      <c r="N28" s="6" t="inlineStr">
        <is>
          <t>P2</t>
        </is>
      </c>
      <c r="O28" s="7" t="inlineStr"/>
    </row>
    <row r="29">
      <c r="A29" s="6" t="inlineStr">
        <is>
          <t>UK</t>
        </is>
      </c>
      <c r="B29" s="6" t="inlineStr">
        <is>
          <t>Service</t>
        </is>
      </c>
      <c r="C29" s="6" t="inlineStr">
        <is>
          <t>A - Core commercial</t>
        </is>
      </c>
      <c r="D29" s="7" t="inlineStr">
        <is>
          <t>https://betterwaste.co.uk/office-waste-management/</t>
        </is>
      </c>
      <c r="E29" s="6" t="inlineStr">
        <is>
          <t>OPTIMISE</t>
        </is>
      </c>
      <c r="F29" s="6" t="inlineStr">
        <is>
          <t>office waste collection</t>
        </is>
      </c>
      <c r="G29" s="6" t="inlineStr">
        <is>
          <t>Commercial</t>
        </is>
      </c>
      <c r="H29" s="6" t="n">
        <v>390</v>
      </c>
      <c r="I29" s="6" t="n">
        <v>34</v>
      </c>
      <c r="J29" s="6" t="n">
        <v>65</v>
      </c>
      <c r="K29" s="7" t="inlineStr">
        <is>
          <t>https://betterwaste.co.uk/areas-we-cover/</t>
        </is>
      </c>
      <c r="L29" s="8" t="inlineStr">
        <is>
          <t>EASY</t>
        </is>
      </c>
      <c r="M29" s="7" t="inlineStr">
        <is>
          <t>inherited from "office waste management": stale SERP: half the top 10 are http:// URLs, one is a US state agency; AS 24 at or below Better Waste (AS 20); 1 council/gov slots</t>
        </is>
      </c>
      <c r="N29" s="6" t="inlineStr">
        <is>
          <t>P2</t>
        </is>
      </c>
      <c r="O29" s="7" t="inlineStr"/>
    </row>
    <row r="30">
      <c r="A30" s="6" t="inlineStr">
        <is>
          <t>UK</t>
        </is>
      </c>
      <c r="B30" s="6" t="inlineStr">
        <is>
          <t>Waste Type</t>
        </is>
      </c>
      <c r="C30" s="6" t="inlineStr">
        <is>
          <t>B - Missing streams</t>
        </is>
      </c>
      <c r="D30" s="7" t="inlineStr">
        <is>
          <t>https://betterwaste.co.uk/wood-waste/</t>
        </is>
      </c>
      <c r="E30" s="6" t="inlineStr">
        <is>
          <t>CREATE</t>
        </is>
      </c>
      <c r="F30" s="6" t="inlineStr">
        <is>
          <t>wood waste collection</t>
        </is>
      </c>
      <c r="G30" s="6" t="inlineStr">
        <is>
          <t>Commercial</t>
        </is>
      </c>
      <c r="H30" s="6" t="n">
        <v>390</v>
      </c>
      <c r="I30" s="6" t="n">
        <v>9</v>
      </c>
      <c r="J30" s="6" t="inlineStr"/>
      <c r="K30" s="7" t="inlineStr"/>
      <c r="L30" s="8" t="inlineStr">
        <is>
          <t>EASY</t>
        </is>
      </c>
      <c r="M30" s="7" t="inlineStr">
        <is>
          <t>AS 9, 11, 18, 22 at or below Better Waste (AS 20)</t>
        </is>
      </c>
      <c r="N30" s="6" t="inlineStr">
        <is>
          <t>P2</t>
        </is>
      </c>
      <c r="O30" s="7" t="inlineStr">
        <is>
          <t>Very low KD</t>
        </is>
      </c>
    </row>
    <row r="31">
      <c r="A31" s="6" t="inlineStr">
        <is>
          <t>UK</t>
        </is>
      </c>
      <c r="B31" s="6" t="inlineStr">
        <is>
          <t>Sector</t>
        </is>
      </c>
      <c r="C31" s="6" t="inlineStr">
        <is>
          <t>E - New sectors</t>
        </is>
      </c>
      <c r="D31" s="7" t="inlineStr">
        <is>
          <t>https://betterwaste.co.uk/office-waste-management/</t>
        </is>
      </c>
      <c r="E31" s="6" t="inlineStr">
        <is>
          <t>OPTIMISE</t>
        </is>
      </c>
      <c r="F31" s="6" t="inlineStr">
        <is>
          <t>office waste management</t>
        </is>
      </c>
      <c r="G31" s="6" t="inlineStr">
        <is>
          <t>Commercial</t>
        </is>
      </c>
      <c r="H31" s="6" t="n">
        <v>390</v>
      </c>
      <c r="I31" s="6" t="n">
        <v>13</v>
      </c>
      <c r="J31" s="6" t="inlineStr"/>
      <c r="K31" s="7" t="inlineStr"/>
      <c r="L31" s="8" t="inlineStr">
        <is>
          <t>EASY</t>
        </is>
      </c>
      <c r="M31" s="7" t="inlineStr">
        <is>
          <t>stale SERP: half the top 10 are http:// URLs, one is a US state agency; AS 24 at or below Better Waste (AS 20); 1 council/gov slots</t>
        </is>
      </c>
      <c r="N31" s="6" t="inlineStr">
        <is>
          <t>P1</t>
        </is>
      </c>
      <c r="O31" s="7" t="inlineStr"/>
    </row>
    <row r="32">
      <c r="A32" s="6" t="inlineStr">
        <is>
          <t>UK</t>
        </is>
      </c>
      <c r="B32" s="6" t="inlineStr">
        <is>
          <t>Waste Type</t>
        </is>
      </c>
      <c r="C32" s="6" t="inlineStr">
        <is>
          <t>Sheet gap</t>
        </is>
      </c>
      <c r="D32" s="7" t="inlineStr">
        <is>
          <t>https://betterwaste.co.uk/paper-and-cardboard-waste/</t>
        </is>
      </c>
      <c r="E32" s="6" t="inlineStr">
        <is>
          <t>OPTIMISE</t>
        </is>
      </c>
      <c r="F32" s="6" t="inlineStr">
        <is>
          <t>business cardboard recycling</t>
        </is>
      </c>
      <c r="G32" s="6" t="inlineStr">
        <is>
          <t>Informational</t>
        </is>
      </c>
      <c r="H32" s="6" t="n">
        <v>390</v>
      </c>
      <c r="I32" s="6" t="n">
        <v>16</v>
      </c>
      <c r="J32" s="6" t="n">
        <v>63</v>
      </c>
      <c r="K32" s="7" t="inlineStr">
        <is>
          <t>https://betterwaste.co.uk/paper-and-cardboard-waste/</t>
        </is>
      </c>
      <c r="L32" s="8" t="inlineStr">
        <is>
          <t>EASY</t>
        </is>
      </c>
      <c r="M32" s="7" t="inlineStr">
        <is>
          <t>AS 16, 18, 20 at or below Better Waste (AS 20)</t>
        </is>
      </c>
      <c r="N32" s="6" t="inlineStr">
        <is>
          <t>P2</t>
        </is>
      </c>
      <c r="O32" s="7" t="inlineStr">
        <is>
          <t>Not in sheet. Currently p63</t>
        </is>
      </c>
    </row>
    <row r="33">
      <c r="A33" s="6" t="inlineStr">
        <is>
          <t>UK</t>
        </is>
      </c>
      <c r="B33" s="6" t="inlineStr">
        <is>
          <t>Waste Type</t>
        </is>
      </c>
      <c r="C33" s="6" t="inlineStr">
        <is>
          <t>B - Missing streams</t>
        </is>
      </c>
      <c r="D33" s="7" t="inlineStr">
        <is>
          <t>https://betterwaste.co.uk/cooking-oil-collection/</t>
        </is>
      </c>
      <c r="E33" s="6" t="inlineStr">
        <is>
          <t>CREATE</t>
        </is>
      </c>
      <c r="F33" s="6" t="inlineStr">
        <is>
          <t>used cooking oil collection</t>
        </is>
      </c>
      <c r="G33" s="6" t="inlineStr">
        <is>
          <t>Commercial</t>
        </is>
      </c>
      <c r="H33" s="6" t="n">
        <v>320</v>
      </c>
      <c r="I33" s="6" t="n">
        <v>15</v>
      </c>
      <c r="J33" s="6" t="inlineStr"/>
      <c r="K33" s="7" t="inlineStr"/>
      <c r="L33" s="8" t="inlineStr">
        <is>
          <t>EASY</t>
        </is>
      </c>
      <c r="M33" s="7" t="inlineStr">
        <is>
          <t>AS 2, 6, 7, 19, 19 at or below Better Waste (AS 20)</t>
        </is>
      </c>
      <c r="N33" s="6" t="inlineStr">
        <is>
          <t>P3</t>
        </is>
      </c>
      <c r="O33" s="7" t="inlineStr">
        <is>
          <t>Pairs with existing food waste pages</t>
        </is>
      </c>
    </row>
    <row r="34">
      <c r="A34" s="6" t="inlineStr">
        <is>
          <t>UK</t>
        </is>
      </c>
      <c r="B34" s="6" t="inlineStr">
        <is>
          <t>Gap vs competitors</t>
        </is>
      </c>
      <c r="C34" s="6" t="inlineStr">
        <is>
          <t>G - Shredding &amp; data</t>
        </is>
      </c>
      <c r="D34" s="7" t="inlineStr">
        <is>
          <t>https://betterwaste.co.uk/confidential-waste/</t>
        </is>
      </c>
      <c r="E34" s="6" t="inlineStr">
        <is>
          <t>CREATE</t>
        </is>
      </c>
      <c r="F34" s="6" t="inlineStr">
        <is>
          <t>commercial shredding</t>
        </is>
      </c>
      <c r="G34" s="6" t="inlineStr">
        <is>
          <t>Commercial</t>
        </is>
      </c>
      <c r="H34" s="6" t="n">
        <v>320</v>
      </c>
      <c r="I34" s="6" t="n">
        <v>14</v>
      </c>
      <c r="J34" s="6" t="inlineStr"/>
      <c r="K34" s="7" t="inlineStr"/>
      <c r="L34" s="8" t="inlineStr">
        <is>
          <t>EASY</t>
        </is>
      </c>
      <c r="M34" s="7" t="inlineStr">
        <is>
          <t>inherited from "document shredding": simply-shredding AS 16 and doxbond AS 10 both rank, alongside homeshreduk, shredstation, sdsecureshredding and goshred - the same small-operator set as confidential waste collection</t>
        </is>
      </c>
      <c r="N34" s="6" t="inlineStr">
        <is>
          <t>P2</t>
        </is>
      </c>
      <c r="O34" s="7" t="inlineStr"/>
    </row>
    <row r="35">
      <c r="A35" s="6" t="inlineStr">
        <is>
          <t>UK</t>
        </is>
      </c>
      <c r="B35" s="6" t="inlineStr">
        <is>
          <t>Waste Type</t>
        </is>
      </c>
      <c r="C35" s="6" t="inlineStr">
        <is>
          <t>B - Missing streams</t>
        </is>
      </c>
      <c r="D35" s="7" t="inlineStr">
        <is>
          <t>https://betterwaste.co.uk/metal-waste/</t>
        </is>
      </c>
      <c r="E35" s="6" t="inlineStr">
        <is>
          <t>CREATE</t>
        </is>
      </c>
      <c r="F35" s="6" t="inlineStr">
        <is>
          <t>metal waste collection</t>
        </is>
      </c>
      <c r="G35" s="6" t="inlineStr">
        <is>
          <t>Commercial</t>
        </is>
      </c>
      <c r="H35" s="6" t="n">
        <v>260</v>
      </c>
      <c r="I35" s="6" t="n">
        <v>24</v>
      </c>
      <c r="J35" s="6" t="inlineStr"/>
      <c r="K35" s="7" t="inlineStr"/>
      <c r="L35" s="8" t="inlineStr">
        <is>
          <t>EASY</t>
        </is>
      </c>
      <c r="M35" s="7" t="inlineStr">
        <is>
          <t>AS 9, 11, 15, 17, 20 at or below Better Waste (AS 20) - five scrap merchants. CHECK SERVICE MODEL: these sites buy scrap, they do not sell collection</t>
        </is>
      </c>
      <c r="N35" s="6" t="inlineStr">
        <is>
          <t>P3</t>
        </is>
      </c>
      <c r="O35" s="7" t="inlineStr"/>
    </row>
    <row r="36">
      <c r="A36" s="6" t="inlineStr">
        <is>
          <t>UK</t>
        </is>
      </c>
      <c r="B36" s="6" t="inlineStr">
        <is>
          <t>Sector</t>
        </is>
      </c>
      <c r="C36" s="6" t="inlineStr">
        <is>
          <t>E - New sectors</t>
        </is>
      </c>
      <c r="D36" s="7" t="inlineStr">
        <is>
          <t>https://betterwaste.co.uk/retail-waste-management/</t>
        </is>
      </c>
      <c r="E36" s="6" t="inlineStr">
        <is>
          <t>OPTIMISE</t>
        </is>
      </c>
      <c r="F36" s="6" t="inlineStr">
        <is>
          <t>retail waste management</t>
        </is>
      </c>
      <c r="G36" s="6" t="inlineStr">
        <is>
          <t>Informational</t>
        </is>
      </c>
      <c r="H36" s="6" t="n">
        <v>260</v>
      </c>
      <c r="I36" s="6" t="n">
        <v>17</v>
      </c>
      <c r="J36" s="6" t="n">
        <v>45</v>
      </c>
      <c r="K36" s="7" t="inlineStr">
        <is>
          <t>https://betterwaste.co.uk/retail-waste-management/</t>
        </is>
      </c>
      <c r="L36" s="8" t="inlineStr">
        <is>
          <t>EASY</t>
        </is>
      </c>
      <c r="M36" s="7" t="inlineStr">
        <is>
          <t>inherited from "office waste management": stale SERP: half the top 10 are http:// URLs, one is a US state agency; AS 24 at or below Better Waste (AS 20); 1 council/gov slots</t>
        </is>
      </c>
      <c r="N36" s="6" t="inlineStr">
        <is>
          <t>P2</t>
        </is>
      </c>
      <c r="O36" s="7" t="inlineStr"/>
    </row>
    <row r="37">
      <c r="A37" s="6" t="inlineStr">
        <is>
          <t>UK</t>
        </is>
      </c>
      <c r="B37" s="6" t="inlineStr">
        <is>
          <t>Sector</t>
        </is>
      </c>
      <c r="C37" s="6" t="inlineStr">
        <is>
          <t>E - New sectors</t>
        </is>
      </c>
      <c r="D37" s="7" t="inlineStr">
        <is>
          <t>https://betterwaste.co.uk/butchers-waste-collection/</t>
        </is>
      </c>
      <c r="E37" s="6" t="inlineStr">
        <is>
          <t>CREATE</t>
        </is>
      </c>
      <c r="F37" s="6" t="inlineStr">
        <is>
          <t>butchers waste collection</t>
        </is>
      </c>
      <c r="G37" s="6" t="inlineStr">
        <is>
          <t>Informational + Transactional</t>
        </is>
      </c>
      <c r="H37" s="6" t="n">
        <v>260</v>
      </c>
      <c r="I37" s="6" t="n">
        <v>7</v>
      </c>
      <c r="J37" s="6" t="inlineStr"/>
      <c r="K37" s="7" t="inlineStr"/>
      <c r="L37" s="8" t="inlineStr">
        <is>
          <t>EASY</t>
        </is>
      </c>
      <c r="M37" s="7" t="inlineStr">
        <is>
          <t>AS 10, 10, 24 at or below Better Waste (AS 20); 1 council/gov slots</t>
        </is>
      </c>
      <c r="N37" s="6" t="inlineStr">
        <is>
          <t>P1</t>
        </is>
      </c>
      <c r="O37" s="7" t="inlineStr">
        <is>
          <t>wastemanaged.co.uk p4. Lowest KD in cluster</t>
        </is>
      </c>
    </row>
    <row r="38">
      <c r="A38" s="6" t="inlineStr">
        <is>
          <t>UK</t>
        </is>
      </c>
      <c r="B38" s="6" t="inlineStr">
        <is>
          <t>Sector</t>
        </is>
      </c>
      <c r="C38" s="6" t="inlineStr">
        <is>
          <t>E - Existing push</t>
        </is>
      </c>
      <c r="D38" s="7" t="inlineStr">
        <is>
          <t>https://betterwaste.co.uk/hair-salon-waste-management/</t>
        </is>
      </c>
      <c r="E38" s="6" t="inlineStr">
        <is>
          <t>OPTIMISE</t>
        </is>
      </c>
      <c r="F38" s="6" t="inlineStr">
        <is>
          <t>salon waste management</t>
        </is>
      </c>
      <c r="G38" s="6" t="inlineStr">
        <is>
          <t>Informational</t>
        </is>
      </c>
      <c r="H38" s="6" t="n">
        <v>260</v>
      </c>
      <c r="I38" s="6" t="n">
        <v>6</v>
      </c>
      <c r="J38" s="6" t="n">
        <v>21</v>
      </c>
      <c r="K38" s="7" t="inlineStr">
        <is>
          <t>https://betterwaste.co.uk/hair-salon-waste-management/</t>
        </is>
      </c>
      <c r="L38" s="8" t="inlineStr">
        <is>
          <t>EASY</t>
        </is>
      </c>
      <c r="M38" s="7" t="inlineStr">
        <is>
          <t>inherited from "butchers waste collection": AS 10, 10, 24 at or below Better Waste (AS 20); 1 council/gov slots</t>
        </is>
      </c>
      <c r="N38" s="6" t="inlineStr">
        <is>
          <t>P1</t>
        </is>
      </c>
      <c r="O38" s="7" t="inlineStr">
        <is>
          <t>Currently p21</t>
        </is>
      </c>
    </row>
    <row r="39">
      <c r="A39" s="6" t="inlineStr">
        <is>
          <t>UK</t>
        </is>
      </c>
      <c r="B39" s="6" t="inlineStr">
        <is>
          <t>Location</t>
        </is>
      </c>
      <c r="C39" s="6" t="inlineStr">
        <is>
          <t>F - Locations</t>
        </is>
      </c>
      <c r="D39" s="7" t="inlineStr">
        <is>
          <t>https://betterwaste.co.uk/areas-we-cover/leeds/</t>
        </is>
      </c>
      <c r="E39" s="6" t="inlineStr">
        <is>
          <t>OPTIMISE</t>
        </is>
      </c>
      <c r="F39" s="6" t="inlineStr">
        <is>
          <t>commercial waste collection leeds</t>
        </is>
      </c>
      <c r="G39" s="6" t="inlineStr">
        <is>
          <t>Commercial</t>
        </is>
      </c>
      <c r="H39" s="6" t="n">
        <v>260</v>
      </c>
      <c r="I39" s="6" t="n">
        <v>17</v>
      </c>
      <c r="J39" s="6" t="inlineStr"/>
      <c r="K39" s="7" t="inlineStr"/>
      <c r="L39" s="8" t="inlineStr">
        <is>
          <t>EASY</t>
        </is>
      </c>
      <c r="M39" s="7" t="inlineStr">
        <is>
          <t>AS 13, 21, 21, 24, 25 at or below Better Waste (AS 20); 2 council/gov slots</t>
        </is>
      </c>
      <c r="N39" s="6" t="inlineStr">
        <is>
          <t>P1</t>
        </is>
      </c>
      <c r="O39" s="7" t="inlineStr"/>
    </row>
    <row r="40">
      <c r="A40" s="6" t="inlineStr">
        <is>
          <t>UK</t>
        </is>
      </c>
      <c r="B40" s="6" t="inlineStr">
        <is>
          <t>Location</t>
        </is>
      </c>
      <c r="C40" s="6" t="inlineStr">
        <is>
          <t>F - Locations</t>
        </is>
      </c>
      <c r="D40" s="7" t="inlineStr">
        <is>
          <t>https://betterwaste.co.uk/areas-we-cover/liverpool/</t>
        </is>
      </c>
      <c r="E40" s="6" t="inlineStr">
        <is>
          <t>CREATE</t>
        </is>
      </c>
      <c r="F40" s="6" t="inlineStr">
        <is>
          <t>commercial waste collection liverpool</t>
        </is>
      </c>
      <c r="G40" s="6" t="inlineStr">
        <is>
          <t>Commercial</t>
        </is>
      </c>
      <c r="H40" s="6" t="n">
        <v>260</v>
      </c>
      <c r="I40" s="6" t="n">
        <v>18</v>
      </c>
      <c r="J40" s="6" t="inlineStr"/>
      <c r="K40" s="7" t="inlineStr"/>
      <c r="L40" s="8" t="inlineStr">
        <is>
          <t>EASY</t>
        </is>
      </c>
      <c r="M40" s="7" t="inlineStr">
        <is>
          <t>inherited from "commercial waste collection leeds": AS 13, 21, 21, 24, 25 at or below Better Waste (AS 20); 2 council/gov slots</t>
        </is>
      </c>
      <c r="N40" s="6" t="inlineStr">
        <is>
          <t>P1</t>
        </is>
      </c>
      <c r="O40" s="7" t="inlineStr">
        <is>
          <t>No page exists</t>
        </is>
      </c>
    </row>
    <row r="41">
      <c r="A41" s="6" t="inlineStr">
        <is>
          <t>UK</t>
        </is>
      </c>
      <c r="B41" s="6" t="inlineStr">
        <is>
          <t>Waste Type</t>
        </is>
      </c>
      <c r="C41" s="6" t="inlineStr">
        <is>
          <t>Sheet gap</t>
        </is>
      </c>
      <c r="D41" s="7" t="inlineStr">
        <is>
          <t>https://betterwaste.co.uk/paper-and-cardboard-waste/</t>
        </is>
      </c>
      <c r="E41" s="6" t="inlineStr">
        <is>
          <t>OPTIMISE</t>
        </is>
      </c>
      <c r="F41" s="6" t="inlineStr">
        <is>
          <t>commercial paper recycling</t>
        </is>
      </c>
      <c r="G41" s="6" t="inlineStr">
        <is>
          <t>Informational</t>
        </is>
      </c>
      <c r="H41" s="6" t="n">
        <v>260</v>
      </c>
      <c r="I41" s="6" t="n">
        <v>16</v>
      </c>
      <c r="J41" s="6" t="n">
        <v>73</v>
      </c>
      <c r="K41" s="7" t="inlineStr">
        <is>
          <t>https://betterwaste.co.uk/paper-and-cardboard-waste/</t>
        </is>
      </c>
      <c r="L41" s="8" t="inlineStr">
        <is>
          <t>EASY</t>
        </is>
      </c>
      <c r="M41" s="7" t="inlineStr">
        <is>
          <t>inherited from "business cardboard recycling": AS 16, 18, 20 at or below Better Waste (AS 20)</t>
        </is>
      </c>
      <c r="N41" s="6" t="inlineStr">
        <is>
          <t>P2</t>
        </is>
      </c>
      <c r="O41" s="7" t="inlineStr">
        <is>
          <t>Not in sheet. Currently p73</t>
        </is>
      </c>
    </row>
    <row r="42">
      <c r="A42" s="6" t="inlineStr">
        <is>
          <t>UK</t>
        </is>
      </c>
      <c r="B42" s="6" t="inlineStr">
        <is>
          <t>Sector</t>
        </is>
      </c>
      <c r="C42" s="6" t="inlineStr">
        <is>
          <t>E - Existing push</t>
        </is>
      </c>
      <c r="D42" s="7" t="inlineStr">
        <is>
          <t>https://betterwaste.co.uk/cafe-waste-management/</t>
        </is>
      </c>
      <c r="E42" s="6" t="inlineStr">
        <is>
          <t>OPTIMISE</t>
        </is>
      </c>
      <c r="F42" s="6" t="inlineStr">
        <is>
          <t>cafe waste collection</t>
        </is>
      </c>
      <c r="G42" s="6" t="inlineStr">
        <is>
          <t>Informational</t>
        </is>
      </c>
      <c r="H42" s="6" t="n">
        <v>210</v>
      </c>
      <c r="I42" s="6" t="n">
        <v>9</v>
      </c>
      <c r="J42" s="6" t="n">
        <v>19</v>
      </c>
      <c r="K42" s="7" t="inlineStr">
        <is>
          <t>https://betterwaste.co.uk/cafe-waste-management/</t>
        </is>
      </c>
      <c r="L42" s="8" t="inlineStr">
        <is>
          <t>EASY</t>
        </is>
      </c>
      <c r="M42" s="7" t="inlineStr">
        <is>
          <t>inherited from "butchers waste collection": AS 10, 10, 24 at or below Better Waste (AS 20); 1 council/gov slots</t>
        </is>
      </c>
      <c r="N42" s="6" t="inlineStr">
        <is>
          <t>P1</t>
        </is>
      </c>
      <c r="O42" s="7" t="inlineStr">
        <is>
          <t>Currently p19</t>
        </is>
      </c>
    </row>
    <row r="43">
      <c r="A43" s="6" t="inlineStr">
        <is>
          <t>UK</t>
        </is>
      </c>
      <c r="B43" s="6" t="inlineStr">
        <is>
          <t>Sector</t>
        </is>
      </c>
      <c r="C43" s="6" t="inlineStr">
        <is>
          <t>E - Existing push</t>
        </is>
      </c>
      <c r="D43" s="7" t="inlineStr">
        <is>
          <t>https://betterwaste.co.uk/cafe-waste-management/</t>
        </is>
      </c>
      <c r="E43" s="6" t="inlineStr">
        <is>
          <t>OPTIMISE</t>
        </is>
      </c>
      <c r="F43" s="6" t="inlineStr">
        <is>
          <t>cafe waste management</t>
        </is>
      </c>
      <c r="G43" s="6" t="inlineStr">
        <is>
          <t>Informational</t>
        </is>
      </c>
      <c r="H43" s="6" t="n">
        <v>210</v>
      </c>
      <c r="I43" s="6" t="n">
        <v>10</v>
      </c>
      <c r="J43" s="6" t="n">
        <v>22</v>
      </c>
      <c r="K43" s="7" t="inlineStr">
        <is>
          <t>https://betterwaste.co.uk/cafe-waste-management/</t>
        </is>
      </c>
      <c r="L43" s="8" t="inlineStr">
        <is>
          <t>EASY</t>
        </is>
      </c>
      <c r="M43" s="7" t="inlineStr">
        <is>
          <t>inherited from "butchers waste collection": AS 10, 10, 24 at or below Better Waste (AS 20); 1 council/gov slots</t>
        </is>
      </c>
      <c r="N43" s="6" t="inlineStr">
        <is>
          <t>P1</t>
        </is>
      </c>
      <c r="O43" s="7" t="inlineStr">
        <is>
          <t>Currently p22</t>
        </is>
      </c>
    </row>
    <row r="44">
      <c r="A44" s="6" t="inlineStr">
        <is>
          <t>UK</t>
        </is>
      </c>
      <c r="B44" s="6" t="inlineStr">
        <is>
          <t>Sector</t>
        </is>
      </c>
      <c r="C44" s="6" t="inlineStr">
        <is>
          <t>E - Existing push</t>
        </is>
      </c>
      <c r="D44" s="7" t="inlineStr">
        <is>
          <t>https://betterwaste.co.uk/bakery-waste-management/</t>
        </is>
      </c>
      <c r="E44" s="6" t="inlineStr">
        <is>
          <t>OPTIMISE</t>
        </is>
      </c>
      <c r="F44" s="6" t="inlineStr">
        <is>
          <t>bakery waste management</t>
        </is>
      </c>
      <c r="G44" s="6" t="inlineStr">
        <is>
          <t>Informational</t>
        </is>
      </c>
      <c r="H44" s="6" t="n">
        <v>210</v>
      </c>
      <c r="I44" s="6" t="n">
        <v>18</v>
      </c>
      <c r="J44" s="6" t="n">
        <v>25</v>
      </c>
      <c r="K44" s="7" t="inlineStr">
        <is>
          <t>https://betterwaste.co.uk/bakery-waste-management/</t>
        </is>
      </c>
      <c r="L44" s="8" t="inlineStr">
        <is>
          <t>EASY</t>
        </is>
      </c>
      <c r="M44" s="7" t="inlineStr">
        <is>
          <t>inherited from "butchers waste collection": AS 10, 10, 24 at or below Better Waste (AS 20); 1 council/gov slots</t>
        </is>
      </c>
      <c r="N44" s="6" t="inlineStr">
        <is>
          <t>P2</t>
        </is>
      </c>
      <c r="O44" s="7" t="inlineStr">
        <is>
          <t>Currently p25</t>
        </is>
      </c>
    </row>
    <row r="45">
      <c r="A45" s="6" t="inlineStr">
        <is>
          <t>UK</t>
        </is>
      </c>
      <c r="B45" s="6" t="inlineStr">
        <is>
          <t>Waste Type</t>
        </is>
      </c>
      <c r="C45" s="6" t="inlineStr">
        <is>
          <t>Sheet gap</t>
        </is>
      </c>
      <c r="D45" s="7" t="inlineStr">
        <is>
          <t>https://betterwaste.co.uk/paper-and-cardboard-waste/</t>
        </is>
      </c>
      <c r="E45" s="6" t="inlineStr">
        <is>
          <t>OPTIMISE</t>
        </is>
      </c>
      <c r="F45" s="6" t="inlineStr">
        <is>
          <t>commercial cardboard collection</t>
        </is>
      </c>
      <c r="G45" s="6" t="inlineStr">
        <is>
          <t>Commercial</t>
        </is>
      </c>
      <c r="H45" s="6" t="n">
        <v>210</v>
      </c>
      <c r="I45" s="6" t="n">
        <v>18</v>
      </c>
      <c r="J45" s="6" t="n">
        <v>36</v>
      </c>
      <c r="K45" s="7" t="inlineStr">
        <is>
          <t>https://betterwaste.co.uk/paper-and-cardboard-waste/</t>
        </is>
      </c>
      <c r="L45" s="8" t="inlineStr">
        <is>
          <t>EASY</t>
        </is>
      </c>
      <c r="M45" s="7" t="inlineStr">
        <is>
          <t>inherited from "business cardboard recycling": AS 16, 18, 20 at or below Better Waste (AS 20)</t>
        </is>
      </c>
      <c r="N45" s="6" t="inlineStr">
        <is>
          <t>P2</t>
        </is>
      </c>
      <c r="O45" s="7" t="inlineStr">
        <is>
          <t>Not in sheet. Currently p36</t>
        </is>
      </c>
    </row>
    <row r="46">
      <c r="A46" s="6" t="inlineStr">
        <is>
          <t>UK</t>
        </is>
      </c>
      <c r="B46" s="6" t="inlineStr">
        <is>
          <t>Sector</t>
        </is>
      </c>
      <c r="C46" s="6" t="inlineStr">
        <is>
          <t>E - Existing push</t>
        </is>
      </c>
      <c r="D46" s="7" t="inlineStr">
        <is>
          <t>https://betterwaste.co.uk/restaurant-waste-management/</t>
        </is>
      </c>
      <c r="E46" s="6" t="inlineStr">
        <is>
          <t>OPTIMISE</t>
        </is>
      </c>
      <c r="F46" s="6" t="inlineStr">
        <is>
          <t>restaurant waste disposal</t>
        </is>
      </c>
      <c r="G46" s="6" t="inlineStr">
        <is>
          <t>Informational</t>
        </is>
      </c>
      <c r="H46" s="6" t="n">
        <v>170</v>
      </c>
      <c r="I46" s="6" t="n">
        <v>12</v>
      </c>
      <c r="J46" s="6" t="n">
        <v>27</v>
      </c>
      <c r="K46" s="7" t="inlineStr">
        <is>
          <t>https://betterwaste.co.uk/restaurant-waste-management/</t>
        </is>
      </c>
      <c r="L46" s="8" t="inlineStr">
        <is>
          <t>EASY</t>
        </is>
      </c>
      <c r="M46" s="7" t="inlineStr">
        <is>
          <t>inherited from "butchers waste collection": AS 10, 10, 24 at or below Better Waste (AS 20); 1 council/gov slots</t>
        </is>
      </c>
      <c r="N46" s="6" t="inlineStr">
        <is>
          <t>P1</t>
        </is>
      </c>
      <c r="O46" s="7" t="inlineStr">
        <is>
          <t>Currently p27</t>
        </is>
      </c>
    </row>
    <row r="47">
      <c r="A47" s="6" t="inlineStr">
        <is>
          <t>UK</t>
        </is>
      </c>
      <c r="B47" s="6" t="inlineStr">
        <is>
          <t>Sector</t>
        </is>
      </c>
      <c r="C47" s="6" t="inlineStr">
        <is>
          <t>E - Existing push</t>
        </is>
      </c>
      <c r="D47" s="7" t="inlineStr">
        <is>
          <t>https://betterwaste.co.uk/takeaway-waste-management/</t>
        </is>
      </c>
      <c r="E47" s="6" t="inlineStr">
        <is>
          <t>OPTIMISE</t>
        </is>
      </c>
      <c r="F47" s="6" t="inlineStr">
        <is>
          <t>takeaway waste collection</t>
        </is>
      </c>
      <c r="G47" s="6" t="inlineStr">
        <is>
          <t>Informational</t>
        </is>
      </c>
      <c r="H47" s="6" t="n">
        <v>170</v>
      </c>
      <c r="I47" s="6" t="n">
        <v>8</v>
      </c>
      <c r="J47" s="6" t="n">
        <v>15</v>
      </c>
      <c r="K47" s="7" t="inlineStr">
        <is>
          <t>https://betterwaste.co.uk/takeaway-waste-management/</t>
        </is>
      </c>
      <c r="L47" s="8" t="inlineStr">
        <is>
          <t>EASY</t>
        </is>
      </c>
      <c r="M47" s="7" t="inlineStr">
        <is>
          <t>inherited from "butchers waste collection": AS 10, 10, 24 at or below Better Waste (AS 20); 1 council/gov slots</t>
        </is>
      </c>
      <c r="N47" s="6" t="inlineStr">
        <is>
          <t>P1</t>
        </is>
      </c>
      <c r="O47" s="7" t="inlineStr">
        <is>
          <t>Currently p15</t>
        </is>
      </c>
    </row>
    <row r="48">
      <c r="A48" s="6" t="inlineStr">
        <is>
          <t>UK</t>
        </is>
      </c>
      <c r="B48" s="6" t="inlineStr">
        <is>
          <t>Sector</t>
        </is>
      </c>
      <c r="C48" s="6" t="inlineStr">
        <is>
          <t>E - Existing push</t>
        </is>
      </c>
      <c r="D48" s="7" t="inlineStr">
        <is>
          <t>https://betterwaste.co.uk/pub-waste-management/</t>
        </is>
      </c>
      <c r="E48" s="6" t="inlineStr">
        <is>
          <t>OPTIMISE</t>
        </is>
      </c>
      <c r="F48" s="6" t="inlineStr">
        <is>
          <t>pub waste management</t>
        </is>
      </c>
      <c r="G48" s="6" t="inlineStr">
        <is>
          <t>Informational</t>
        </is>
      </c>
      <c r="H48" s="6" t="n">
        <v>140</v>
      </c>
      <c r="I48" s="6" t="n">
        <v>9</v>
      </c>
      <c r="J48" s="6" t="n">
        <v>13</v>
      </c>
      <c r="K48" s="7" t="inlineStr">
        <is>
          <t>https://betterwaste.co.uk/pub-waste-management/</t>
        </is>
      </c>
      <c r="L48" s="8" t="inlineStr">
        <is>
          <t>EASY</t>
        </is>
      </c>
      <c r="M48" s="7" t="inlineStr">
        <is>
          <t>inherited from "butchers waste collection": AS 10, 10, 24 at or below Better Waste (AS 20); 1 council/gov slots</t>
        </is>
      </c>
      <c r="N48" s="6" t="inlineStr">
        <is>
          <t>P1</t>
        </is>
      </c>
      <c r="O48" s="7" t="inlineStr">
        <is>
          <t>Currently p13</t>
        </is>
      </c>
    </row>
    <row r="49">
      <c r="A49" s="6" t="inlineStr">
        <is>
          <t>UK</t>
        </is>
      </c>
      <c r="B49" s="6" t="inlineStr">
        <is>
          <t>Sector</t>
        </is>
      </c>
      <c r="C49" s="6" t="inlineStr">
        <is>
          <t>E - Existing push</t>
        </is>
      </c>
      <c r="D49" s="7" t="inlineStr">
        <is>
          <t>https://betterwaste.co.uk/restaurant-waste-management/</t>
        </is>
      </c>
      <c r="E49" s="6" t="inlineStr">
        <is>
          <t>OPTIMISE</t>
        </is>
      </c>
      <c r="F49" s="6" t="inlineStr">
        <is>
          <t>restaurant waste collection</t>
        </is>
      </c>
      <c r="G49" s="6" t="inlineStr">
        <is>
          <t>Informational</t>
        </is>
      </c>
      <c r="H49" s="6" t="n">
        <v>140</v>
      </c>
      <c r="I49" s="6" t="n">
        <v>9</v>
      </c>
      <c r="J49" s="6" t="n">
        <v>26</v>
      </c>
      <c r="K49" s="7" t="inlineStr">
        <is>
          <t>https://betterwaste.co.uk/restaurant-waste-management/</t>
        </is>
      </c>
      <c r="L49" s="8" t="inlineStr">
        <is>
          <t>EASY</t>
        </is>
      </c>
      <c r="M49" s="7" t="inlineStr">
        <is>
          <t>inherited from "butchers waste collection": AS 10, 10, 24 at or below Better Waste (AS 20); 1 council/gov slots</t>
        </is>
      </c>
      <c r="N49" s="6" t="inlineStr">
        <is>
          <t>P1</t>
        </is>
      </c>
      <c r="O49" s="7" t="inlineStr">
        <is>
          <t>Currently p26</t>
        </is>
      </c>
    </row>
    <row r="50">
      <c r="A50" s="6" t="inlineStr">
        <is>
          <t>UK</t>
        </is>
      </c>
      <c r="B50" s="6" t="inlineStr">
        <is>
          <t>Waste Type</t>
        </is>
      </c>
      <c r="C50" s="6" t="inlineStr">
        <is>
          <t>Sheet gap</t>
        </is>
      </c>
      <c r="D50" s="7" t="inlineStr">
        <is>
          <t>https://betterwaste.co.uk/paper-and-cardboard-waste/</t>
        </is>
      </c>
      <c r="E50" s="6" t="inlineStr">
        <is>
          <t>OPTIMISE</t>
        </is>
      </c>
      <c r="F50" s="6" t="inlineStr">
        <is>
          <t>cardboard recycling for businesses</t>
        </is>
      </c>
      <c r="G50" s="6" t="inlineStr">
        <is>
          <t>Informational</t>
        </is>
      </c>
      <c r="H50" s="6" t="n">
        <v>140</v>
      </c>
      <c r="I50" s="6" t="n">
        <v>15</v>
      </c>
      <c r="J50" s="6" t="n">
        <v>63</v>
      </c>
      <c r="K50" s="7" t="inlineStr">
        <is>
          <t>https://betterwaste.co.uk/paper-and-cardboard-waste/</t>
        </is>
      </c>
      <c r="L50" s="8" t="inlineStr">
        <is>
          <t>EASY</t>
        </is>
      </c>
      <c r="M50" s="7" t="inlineStr">
        <is>
          <t>inherited from "business cardboard recycling": AS 16, 18, 20 at or below Better Waste (AS 20)</t>
        </is>
      </c>
      <c r="N50" s="6" t="inlineStr">
        <is>
          <t>P3</t>
        </is>
      </c>
      <c r="O50" s="7" t="inlineStr">
        <is>
          <t>Not in sheet. Currently p63</t>
        </is>
      </c>
    </row>
    <row r="51">
      <c r="A51" s="6" t="inlineStr">
        <is>
          <t>UK</t>
        </is>
      </c>
      <c r="B51" s="6" t="inlineStr">
        <is>
          <t>Sector</t>
        </is>
      </c>
      <c r="C51" s="6" t="inlineStr">
        <is>
          <t>E - Existing push</t>
        </is>
      </c>
      <c r="D51" s="7" t="inlineStr">
        <is>
          <t>https://betterwaste.co.uk/restaurant-waste-management/</t>
        </is>
      </c>
      <c r="E51" s="6" t="inlineStr">
        <is>
          <t>OPTIMISE</t>
        </is>
      </c>
      <c r="F51" s="6" t="inlineStr">
        <is>
          <t>restaurant waste removal</t>
        </is>
      </c>
      <c r="G51" s="6" t="inlineStr">
        <is>
          <t>Commercial</t>
        </is>
      </c>
      <c r="H51" s="6" t="n">
        <v>110</v>
      </c>
      <c r="I51" s="6" t="n">
        <v>10</v>
      </c>
      <c r="J51" s="6" t="n">
        <v>25</v>
      </c>
      <c r="K51" s="7" t="inlineStr">
        <is>
          <t>https://betterwaste.co.uk/restaurant-waste-management/</t>
        </is>
      </c>
      <c r="L51" s="8" t="inlineStr">
        <is>
          <t>EASY</t>
        </is>
      </c>
      <c r="M51" s="7" t="inlineStr">
        <is>
          <t>inherited from "butchers waste collection": AS 10, 10, 24 at or below Better Waste (AS 20); 1 council/gov slots</t>
        </is>
      </c>
      <c r="N51" s="6" t="inlineStr">
        <is>
          <t>P2</t>
        </is>
      </c>
      <c r="O51" s="7" t="inlineStr">
        <is>
          <t>Currently p25</t>
        </is>
      </c>
    </row>
    <row r="52">
      <c r="A52" s="6" t="inlineStr">
        <is>
          <t>UK</t>
        </is>
      </c>
      <c r="B52" s="6" t="inlineStr">
        <is>
          <t>Waste Type</t>
        </is>
      </c>
      <c r="C52" s="6" t="inlineStr">
        <is>
          <t>Sheet gap</t>
        </is>
      </c>
      <c r="D52" s="7" t="inlineStr">
        <is>
          <t>https://betterwaste.co.uk/dry-mixed-recycling-waste/</t>
        </is>
      </c>
      <c r="E52" s="6" t="inlineStr">
        <is>
          <t>OPTIMISE</t>
        </is>
      </c>
      <c r="F52" s="6" t="inlineStr">
        <is>
          <t>mixed recycling collection</t>
        </is>
      </c>
      <c r="G52" s="6" t="inlineStr">
        <is>
          <t>Informational</t>
        </is>
      </c>
      <c r="H52" s="6" t="n">
        <v>110</v>
      </c>
      <c r="I52" s="6" t="n">
        <v>21</v>
      </c>
      <c r="J52" s="6" t="n">
        <v>57</v>
      </c>
      <c r="K52" s="7" t="inlineStr">
        <is>
          <t>https://betterwaste.co.uk/dry-mixed-recycling-waste/</t>
        </is>
      </c>
      <c r="L52" s="8" t="inlineStr">
        <is>
          <t>EASY</t>
        </is>
      </c>
      <c r="M52" s="7" t="inlineStr">
        <is>
          <t>inherited from "business cardboard recycling": AS 16, 18, 20 at or below Better Waste (AS 20)</t>
        </is>
      </c>
      <c r="N52" s="6" t="inlineStr">
        <is>
          <t>P3</t>
        </is>
      </c>
      <c r="O52" s="7" t="inlineStr">
        <is>
          <t>Not in sheet. Currently p57</t>
        </is>
      </c>
    </row>
    <row r="53">
      <c r="A53" s="6" t="inlineStr">
        <is>
          <t>UK</t>
        </is>
      </c>
      <c r="B53" s="6" t="inlineStr">
        <is>
          <t>Location</t>
        </is>
      </c>
      <c r="C53" s="6" t="inlineStr">
        <is>
          <t>F - Locations</t>
        </is>
      </c>
      <c r="D53" s="7" t="inlineStr">
        <is>
          <t>https://betterwaste.co.uk/areas-we-cover/bristol/</t>
        </is>
      </c>
      <c r="E53" s="6" t="inlineStr">
        <is>
          <t>OPTIMISE</t>
        </is>
      </c>
      <c r="F53" s="6" t="inlineStr">
        <is>
          <t>commercial waste collection bristol</t>
        </is>
      </c>
      <c r="G53" s="6" t="inlineStr">
        <is>
          <t>Commercial</t>
        </is>
      </c>
      <c r="H53" s="6" t="n">
        <v>90</v>
      </c>
      <c r="I53" s="6" t="n">
        <v>22</v>
      </c>
      <c r="J53" s="6" t="inlineStr"/>
      <c r="K53" s="7" t="inlineStr"/>
      <c r="L53" s="8" t="inlineStr">
        <is>
          <t>EASY</t>
        </is>
      </c>
      <c r="M53" s="7" t="inlineStr">
        <is>
          <t>inherited from "commercial waste collection leeds": AS 13, 21, 21, 24, 25 at or below Better Waste (AS 20); 2 council/gov slots</t>
        </is>
      </c>
      <c r="N53" s="6" t="inlineStr">
        <is>
          <t>P2</t>
        </is>
      </c>
      <c r="O53" s="7" t="inlineStr">
        <is>
          <t>No page exists</t>
        </is>
      </c>
    </row>
    <row r="54">
      <c r="A54" s="6" t="inlineStr">
        <is>
          <t>UK</t>
        </is>
      </c>
      <c r="B54" s="6" t="inlineStr">
        <is>
          <t>Location</t>
        </is>
      </c>
      <c r="C54" s="6" t="inlineStr">
        <is>
          <t>F - Locations</t>
        </is>
      </c>
      <c r="D54" s="7" t="inlineStr">
        <is>
          <t>https://betterwaste.co.uk/areas-we-cover/nottingham/</t>
        </is>
      </c>
      <c r="E54" s="6" t="inlineStr">
        <is>
          <t>OPTIMISE</t>
        </is>
      </c>
      <c r="F54" s="6" t="inlineStr">
        <is>
          <t>commercial waste collection nottingham</t>
        </is>
      </c>
      <c r="G54" s="6" t="inlineStr">
        <is>
          <t>Commercial</t>
        </is>
      </c>
      <c r="H54" s="6" t="n">
        <v>90</v>
      </c>
      <c r="I54" s="6" t="n">
        <v>16</v>
      </c>
      <c r="J54" s="6" t="inlineStr"/>
      <c r="K54" s="7" t="inlineStr"/>
      <c r="L54" s="8" t="inlineStr">
        <is>
          <t>EASY</t>
        </is>
      </c>
      <c r="M54" s="7" t="inlineStr">
        <is>
          <t>inherited from "commercial waste collection leeds": AS 13, 21, 21, 24, 25 at or below Better Waste (AS 20); 2 council/gov slots</t>
        </is>
      </c>
      <c r="N54" s="6" t="inlineStr">
        <is>
          <t>P2</t>
        </is>
      </c>
      <c r="O54" s="7" t="inlineStr">
        <is>
          <t>No page exists</t>
        </is>
      </c>
    </row>
    <row r="55">
      <c r="A55" s="6" t="inlineStr">
        <is>
          <t>UK</t>
        </is>
      </c>
      <c r="B55" s="6" t="inlineStr">
        <is>
          <t>Location</t>
        </is>
      </c>
      <c r="C55" s="6" t="inlineStr">
        <is>
          <t>F - Locations</t>
        </is>
      </c>
      <c r="D55" s="7" t="inlineStr">
        <is>
          <t>https://betterwaste.co.uk/areas-we-cover/glasgow/</t>
        </is>
      </c>
      <c r="E55" s="6" t="inlineStr">
        <is>
          <t>CREATE</t>
        </is>
      </c>
      <c r="F55" s="6" t="inlineStr">
        <is>
          <t>commercial waste collection glasgow</t>
        </is>
      </c>
      <c r="G55" s="6" t="inlineStr">
        <is>
          <t>n/a</t>
        </is>
      </c>
      <c r="H55" s="6" t="n">
        <v>70</v>
      </c>
      <c r="I55" s="6" t="n">
        <v>0</v>
      </c>
      <c r="J55" s="6" t="inlineStr"/>
      <c r="K55" s="7" t="inlineStr"/>
      <c r="L55" s="8" t="inlineStr">
        <is>
          <t>EASY</t>
        </is>
      </c>
      <c r="M55" s="7" t="inlineStr">
        <is>
          <t>inherited from "commercial waste collection leeds": AS 13, 21, 21, 24, 25 at or below Better Waste (AS 20); 2 council/gov slots</t>
        </is>
      </c>
      <c r="N55" s="6" t="inlineStr">
        <is>
          <t>P2</t>
        </is>
      </c>
      <c r="O55" s="7" t="inlineStr">
        <is>
          <t>No page exists. High commercial value</t>
        </is>
      </c>
    </row>
    <row r="56">
      <c r="A56" s="6" t="inlineStr">
        <is>
          <t>UK</t>
        </is>
      </c>
      <c r="B56" s="6" t="inlineStr">
        <is>
          <t>Location</t>
        </is>
      </c>
      <c r="C56" s="6" t="inlineStr">
        <is>
          <t>F - Locations</t>
        </is>
      </c>
      <c r="D56" s="7" t="inlineStr">
        <is>
          <t>https://betterwaste.co.uk/areas-we-cover/leicester/</t>
        </is>
      </c>
      <c r="E56" s="6" t="inlineStr">
        <is>
          <t>OPTIMISE</t>
        </is>
      </c>
      <c r="F56" s="6" t="inlineStr">
        <is>
          <t>commercial waste collection leicester</t>
        </is>
      </c>
      <c r="G56" s="6" t="inlineStr">
        <is>
          <t>n/a</t>
        </is>
      </c>
      <c r="H56" s="6" t="n">
        <v>50</v>
      </c>
      <c r="I56" s="6" t="n">
        <v>0</v>
      </c>
      <c r="J56" s="6" t="inlineStr"/>
      <c r="K56" s="7" t="inlineStr"/>
      <c r="L56" s="8" t="inlineStr">
        <is>
          <t>EASY</t>
        </is>
      </c>
      <c r="M56" s="7" t="inlineStr">
        <is>
          <t>inherited from "commercial waste collection leeds": AS 13, 21, 21, 24, 25 at or below Better Waste (AS 20); 2 council/gov slots</t>
        </is>
      </c>
      <c r="N56" s="6" t="inlineStr">
        <is>
          <t>P2</t>
        </is>
      </c>
      <c r="O56" s="7" t="inlineStr"/>
    </row>
    <row r="57">
      <c r="A57" s="6" t="inlineStr">
        <is>
          <t>UK</t>
        </is>
      </c>
      <c r="B57" s="6" t="inlineStr">
        <is>
          <t>Gap vs competitors</t>
        </is>
      </c>
      <c r="C57" s="6" t="inlineStr">
        <is>
          <t>G - Pest &amp; bin hygiene</t>
        </is>
      </c>
      <c r="D57" s="7" t="inlineStr">
        <is>
          <t>https://betterwaste.co.uk/maggots-in-bins-how-to-stop-pests-in-commercial-waste/</t>
        </is>
      </c>
      <c r="E57" s="6" t="inlineStr">
        <is>
          <t>OPTIMISE</t>
        </is>
      </c>
      <c r="F57" s="6" t="inlineStr">
        <is>
          <t>maggots wheelie bins hot weather</t>
        </is>
      </c>
      <c r="G57" s="6" t="inlineStr">
        <is>
          <t>Informational</t>
        </is>
      </c>
      <c r="H57" s="6" t="n">
        <v>60500</v>
      </c>
      <c r="I57" s="6" t="n">
        <v>16</v>
      </c>
      <c r="J57" s="6" t="inlineStr"/>
      <c r="K57" s="7" t="inlineStr"/>
      <c r="L57" s="9" t="inlineStr">
        <is>
          <t>MEDIUM</t>
        </is>
      </c>
      <c r="M57" s="7" t="inlineStr">
        <is>
          <t>AS 15 (lbcclean) at or below Better Waste (AS 20); mhs.org.uk AS 31, wheeliebinsolutions AS 33; 2 council slots plus Reddit/Facebook/YouTube (soft UGC results)</t>
        </is>
      </c>
      <c r="N57" s="6" t="inlineStr">
        <is>
          <t>P1</t>
        </is>
      </c>
      <c r="O57" s="7" t="inlineStr">
        <is>
          <t>Page already exists. businesswaste.co.uk ranks p5</t>
        </is>
      </c>
    </row>
    <row r="58">
      <c r="A58" s="6" t="inlineStr">
        <is>
          <t>UK</t>
        </is>
      </c>
      <c r="B58" s="6" t="inlineStr">
        <is>
          <t>Waste Type</t>
        </is>
      </c>
      <c r="C58" s="6" t="inlineStr">
        <is>
          <t>B - Missing streams</t>
        </is>
      </c>
      <c r="D58" s="7" t="inlineStr">
        <is>
          <t>https://betterwaste.co.uk/confidential-waste/</t>
        </is>
      </c>
      <c r="E58" s="6" t="inlineStr">
        <is>
          <t>CREATE</t>
        </is>
      </c>
      <c r="F58" s="6" t="inlineStr">
        <is>
          <t>confidential waste disposal</t>
        </is>
      </c>
      <c r="G58" s="6" t="inlineStr">
        <is>
          <t>Commercial</t>
        </is>
      </c>
      <c r="H58" s="6" t="n">
        <v>3600</v>
      </c>
      <c r="I58" s="6" t="n">
        <v>25</v>
      </c>
      <c r="J58" s="6" t="inlineStr"/>
      <c r="K58" s="7" t="inlineStr"/>
      <c r="L58" s="9" t="inlineStr">
        <is>
          <t>MEDIUM</t>
        </is>
      </c>
      <c r="M58" s="7" t="inlineStr">
        <is>
          <t>AS 24 at or below Better Waste (AS 20)</t>
        </is>
      </c>
      <c r="N58" s="6" t="inlineStr">
        <is>
          <t>P1</t>
        </is>
      </c>
      <c r="O58" s="7" t="inlineStr">
        <is>
          <t>No page exists</t>
        </is>
      </c>
    </row>
    <row r="59">
      <c r="A59" s="6" t="inlineStr">
        <is>
          <t>UK</t>
        </is>
      </c>
      <c r="B59" s="6" t="inlineStr">
        <is>
          <t>Gap vs competitors</t>
        </is>
      </c>
      <c r="C59" s="6" t="inlineStr">
        <is>
          <t>G - Pest &amp; bin hygiene</t>
        </is>
      </c>
      <c r="D59" s="7" t="inlineStr">
        <is>
          <t>https://betterwaste.co.uk/maggots-in-bins-how-to-stop-pests-in-commercial-waste/</t>
        </is>
      </c>
      <c r="E59" s="6" t="inlineStr">
        <is>
          <t>OPTIMISE</t>
        </is>
      </c>
      <c r="F59" s="6" t="inlineStr">
        <is>
          <t>how to get rid of maggots</t>
        </is>
      </c>
      <c r="G59" s="6" t="inlineStr">
        <is>
          <t>Informational</t>
        </is>
      </c>
      <c r="H59" s="6" t="n">
        <v>2900</v>
      </c>
      <c r="I59" s="6" t="n">
        <v>32</v>
      </c>
      <c r="J59" s="6" t="inlineStr"/>
      <c r="K59" s="7" t="inlineStr"/>
      <c r="L59" s="9" t="inlineStr">
        <is>
          <t>MEDIUM</t>
        </is>
      </c>
      <c r="M59" s="7" t="inlineStr">
        <is>
          <t>inherited from "maggots wheelie bins hot weather": AS 15 (lbcclean) at or below Better Waste (AS 20); mhs.org.uk AS 31, wheeliebinsolutions AS 33; 2 council slots plus Reddit/Facebook/YouTube (soft UGC results)</t>
        </is>
      </c>
      <c r="N59" s="6" t="inlineStr">
        <is>
          <t>P1</t>
        </is>
      </c>
      <c r="O59" s="7" t="inlineStr">
        <is>
          <t>Page already exists</t>
        </is>
      </c>
    </row>
    <row r="60">
      <c r="A60" s="6" t="inlineStr">
        <is>
          <t>UK</t>
        </is>
      </c>
      <c r="B60" s="6" t="inlineStr">
        <is>
          <t>Gap vs competitors</t>
        </is>
      </c>
      <c r="C60" s="6" t="inlineStr">
        <is>
          <t>G - Pest &amp; bin hygiene</t>
        </is>
      </c>
      <c r="D60" s="7" t="inlineStr">
        <is>
          <t>https://betterwaste.co.uk/maggots-in-bins-how-to-stop-pests-in-commercial-waste/</t>
        </is>
      </c>
      <c r="E60" s="6" t="inlineStr">
        <is>
          <t>OPTIMISE</t>
        </is>
      </c>
      <c r="F60" s="6" t="inlineStr">
        <is>
          <t>maggots in bin</t>
        </is>
      </c>
      <c r="G60" s="6" t="inlineStr">
        <is>
          <t>Informational</t>
        </is>
      </c>
      <c r="H60" s="6" t="n">
        <v>2400</v>
      </c>
      <c r="I60" s="6" t="n">
        <v>15</v>
      </c>
      <c r="J60" s="6" t="inlineStr"/>
      <c r="K60" s="7" t="inlineStr"/>
      <c r="L60" s="9" t="inlineStr">
        <is>
          <t>MEDIUM</t>
        </is>
      </c>
      <c r="M60" s="7" t="inlineStr">
        <is>
          <t>inherited from "maggots wheelie bins hot weather": AS 15 (lbcclean) at or below Better Waste (AS 20); mhs.org.uk AS 31, wheeliebinsolutions AS 33; 2 council slots plus Reddit/Facebook/YouTube (soft UGC results)</t>
        </is>
      </c>
      <c r="N60" s="6" t="inlineStr">
        <is>
          <t>P1</t>
        </is>
      </c>
      <c r="O60" s="7" t="inlineStr">
        <is>
          <t>Page already exists</t>
        </is>
      </c>
    </row>
    <row r="61">
      <c r="A61" s="6" t="inlineStr">
        <is>
          <t>UK</t>
        </is>
      </c>
      <c r="B61" s="6" t="inlineStr">
        <is>
          <t>Gap vs competitors</t>
        </is>
      </c>
      <c r="C61" s="6" t="inlineStr">
        <is>
          <t>G - Pest &amp; bin hygiene</t>
        </is>
      </c>
      <c r="D61" s="7" t="inlineStr">
        <is>
          <t>https://betterwaste.co.uk/maggots-in-bins-how-to-stop-pests-in-commercial-waste/</t>
        </is>
      </c>
      <c r="E61" s="6" t="inlineStr">
        <is>
          <t>OPTIMISE</t>
        </is>
      </c>
      <c r="F61" s="6" t="inlineStr">
        <is>
          <t>how to get rid of maggots in bin</t>
        </is>
      </c>
      <c r="G61" s="6" t="inlineStr">
        <is>
          <t>Informational</t>
        </is>
      </c>
      <c r="H61" s="6" t="n">
        <v>1900</v>
      </c>
      <c r="I61" s="6" t="n">
        <v>16</v>
      </c>
      <c r="J61" s="6" t="inlineStr"/>
      <c r="K61" s="7" t="inlineStr"/>
      <c r="L61" s="9" t="inlineStr">
        <is>
          <t>MEDIUM</t>
        </is>
      </c>
      <c r="M61" s="7" t="inlineStr">
        <is>
          <t>inherited from "maggots wheelie bins hot weather": AS 15 (lbcclean) at or below Better Waste (AS 20); mhs.org.uk AS 31, wheeliebinsolutions AS 33; 2 council slots plus Reddit/Facebook/YouTube (soft UGC results)</t>
        </is>
      </c>
      <c r="N61" s="6" t="inlineStr">
        <is>
          <t>P1</t>
        </is>
      </c>
      <c r="O61" s="7" t="inlineStr">
        <is>
          <t>Page already exists</t>
        </is>
      </c>
    </row>
    <row r="62">
      <c r="A62" s="6" t="inlineStr">
        <is>
          <t>UK</t>
        </is>
      </c>
      <c r="B62" s="6" t="inlineStr">
        <is>
          <t>Gap vs competitors</t>
        </is>
      </c>
      <c r="C62" s="6" t="inlineStr">
        <is>
          <t>G - Pest &amp; bin hygiene</t>
        </is>
      </c>
      <c r="D62" s="7" t="inlineStr">
        <is>
          <t>https://betterwaste.co.uk/maggots-in-bins-how-to-stop-pests-in-commercial-waste/</t>
        </is>
      </c>
      <c r="E62" s="6" t="inlineStr">
        <is>
          <t>OPTIMISE</t>
        </is>
      </c>
      <c r="F62" s="6" t="inlineStr">
        <is>
          <t>how to kill maggots in bin</t>
        </is>
      </c>
      <c r="G62" s="6" t="inlineStr">
        <is>
          <t>Informational</t>
        </is>
      </c>
      <c r="H62" s="6" t="n">
        <v>1300</v>
      </c>
      <c r="I62" s="6" t="n">
        <v>16</v>
      </c>
      <c r="J62" s="6" t="inlineStr"/>
      <c r="K62" s="7" t="inlineStr"/>
      <c r="L62" s="9" t="inlineStr">
        <is>
          <t>MEDIUM</t>
        </is>
      </c>
      <c r="M62" s="7" t="inlineStr">
        <is>
          <t>inherited from "maggots wheelie bins hot weather": AS 15 (lbcclean) at or below Better Waste (AS 20); mhs.org.uk AS 31, wheeliebinsolutions AS 33; 2 council slots plus Reddit/Facebook/YouTube (soft UGC results)</t>
        </is>
      </c>
      <c r="N62" s="6" t="inlineStr">
        <is>
          <t>P2</t>
        </is>
      </c>
      <c r="O62" s="7" t="inlineStr">
        <is>
          <t>Page already exists</t>
        </is>
      </c>
    </row>
    <row r="63">
      <c r="A63" s="6" t="inlineStr">
        <is>
          <t>UK</t>
        </is>
      </c>
      <c r="B63" s="6" t="inlineStr">
        <is>
          <t>Gap vs competitors</t>
        </is>
      </c>
      <c r="C63" s="6" t="inlineStr">
        <is>
          <t>G - Other streams</t>
        </is>
      </c>
      <c r="D63" s="7" t="inlineStr">
        <is>
          <t>https://betterwaste.co.uk/clinical-waste-disposal-clinical-waste-collection-companies/</t>
        </is>
      </c>
      <c r="E63" s="6" t="inlineStr">
        <is>
          <t>OPTIMISE</t>
        </is>
      </c>
      <c r="F63" s="6" t="inlineStr">
        <is>
          <t>sharps bin collection</t>
        </is>
      </c>
      <c r="G63" s="6" t="inlineStr">
        <is>
          <t>Commercial</t>
        </is>
      </c>
      <c r="H63" s="6" t="n">
        <v>1300</v>
      </c>
      <c r="I63" s="6" t="n">
        <v>19</v>
      </c>
      <c r="J63" s="6" t="inlineStr"/>
      <c r="K63" s="7" t="inlineStr"/>
      <c r="L63" s="9" t="inlineStr">
        <is>
          <t>MEDIUM</t>
        </is>
      </c>
      <c r="M63" s="7" t="inlineStr">
        <is>
          <t>inherited from "dental waste disposal": AS 10 at or below Better Waste (AS 20)</t>
        </is>
      </c>
      <c r="N63" s="6" t="inlineStr">
        <is>
          <t>P2</t>
        </is>
      </c>
      <c r="O63" s="7" t="inlineStr">
        <is>
          <t>Commercial entry point to the clinical cluster; page exists</t>
        </is>
      </c>
    </row>
    <row r="64">
      <c r="A64" s="6" t="inlineStr">
        <is>
          <t>UK</t>
        </is>
      </c>
      <c r="B64" s="6" t="inlineStr">
        <is>
          <t>Gap vs competitors</t>
        </is>
      </c>
      <c r="C64" s="6" t="inlineStr">
        <is>
          <t>G - Other streams</t>
        </is>
      </c>
      <c r="D64" s="7" t="inlineStr">
        <is>
          <t>https://betterwaste.co.uk/commercial-waste-collection/</t>
        </is>
      </c>
      <c r="E64" s="6" t="inlineStr">
        <is>
          <t>OPTIMISE</t>
        </is>
      </c>
      <c r="F64" s="6" t="inlineStr">
        <is>
          <t>commercial garbage collection</t>
        </is>
      </c>
      <c r="G64" s="6" t="inlineStr">
        <is>
          <t>Commercial</t>
        </is>
      </c>
      <c r="H64" s="6" t="n">
        <v>1300</v>
      </c>
      <c r="I64" s="6" t="n">
        <v>27</v>
      </c>
      <c r="J64" s="6" t="inlineStr"/>
      <c r="K64" s="7" t="inlineStr"/>
      <c r="L64" s="9" t="inlineStr">
        <is>
          <t>MEDIUM</t>
        </is>
      </c>
      <c r="M64" s="7" t="inlineStr">
        <is>
          <t>inherited from "commercial rubbish removal": AS 10 at or below Better Waste (AS 20)</t>
        </is>
      </c>
      <c r="N64" s="6" t="inlineStr">
        <is>
          <t>P2</t>
        </is>
      </c>
      <c r="O64" s="7" t="inlineStr">
        <is>
          <t>businesswaste p8, thefirstmile p5</t>
        </is>
      </c>
    </row>
    <row r="65">
      <c r="A65" s="6" t="inlineStr">
        <is>
          <t>UK</t>
        </is>
      </c>
      <c r="B65" s="6" t="inlineStr">
        <is>
          <t>Waste Type</t>
        </is>
      </c>
      <c r="C65" s="6" t="inlineStr">
        <is>
          <t>B - Missing streams</t>
        </is>
      </c>
      <c r="D65" s="7" t="inlineStr">
        <is>
          <t>https://betterwaste.co.uk/industrial-waste/</t>
        </is>
      </c>
      <c r="E65" s="6" t="inlineStr">
        <is>
          <t>CREATE</t>
        </is>
      </c>
      <c r="F65" s="6" t="inlineStr">
        <is>
          <t>industrial waste disposal</t>
        </is>
      </c>
      <c r="G65" s="6" t="inlineStr">
        <is>
          <t>Informational</t>
        </is>
      </c>
      <c r="H65" s="6" t="n">
        <v>720</v>
      </c>
      <c r="I65" s="6" t="n">
        <v>28</v>
      </c>
      <c r="J65" s="6" t="inlineStr"/>
      <c r="K65" s="7" t="inlineStr"/>
      <c r="L65" s="9" t="inlineStr">
        <is>
          <t>MEDIUM</t>
        </is>
      </c>
      <c r="M65" s="7" t="inlineStr">
        <is>
          <t>AS 14 (envirocraft), 18 (oatesenvironmental) at or below Better Waste (AS 20); 3 gov slots incl. hse.gov.uk</t>
        </is>
      </c>
      <c r="N65" s="6" t="inlineStr">
        <is>
          <t>P2</t>
        </is>
      </c>
      <c r="O65" s="7" t="inlineStr">
        <is>
          <t>businesswaste p2 / wastemanaged p9</t>
        </is>
      </c>
    </row>
    <row r="66">
      <c r="A66" s="6" t="inlineStr">
        <is>
          <t>UK</t>
        </is>
      </c>
      <c r="B66" s="6" t="inlineStr">
        <is>
          <t>Location</t>
        </is>
      </c>
      <c r="C66" s="6" t="inlineStr">
        <is>
          <t>F - Long tail</t>
        </is>
      </c>
      <c r="D66" s="7" t="inlineStr">
        <is>
          <t>https://betterwaste.co.uk/areas-we-cover/manchester/</t>
        </is>
      </c>
      <c r="E66" s="6" t="inlineStr">
        <is>
          <t>FIX</t>
        </is>
      </c>
      <c r="F66" s="6" t="inlineStr">
        <is>
          <t>commercial rubbish collection near longsight manchester</t>
        </is>
      </c>
      <c r="G66" s="6" t="inlineStr">
        <is>
          <t>Informational</t>
        </is>
      </c>
      <c r="H66" s="6" t="n">
        <v>720</v>
      </c>
      <c r="I66" s="6" t="n">
        <v>17</v>
      </c>
      <c r="J66" s="6" t="n">
        <v>16</v>
      </c>
      <c r="K66" s="7" t="inlineStr">
        <is>
          <t>https://betterwaste.co.uk/areas-we-cover-old/manchester/</t>
        </is>
      </c>
      <c r="L66" s="9" t="inlineStr">
        <is>
          <t>MEDIUM</t>
        </is>
      </c>
      <c r="M66" s="7" t="inlineStr">
        <is>
          <t>BORDERLINE: no site at AS&lt;=25 on the shared Manchester commercial-waste SERP, but lowest is AS 27 (kennywastemanagement) vs Better Waste AS 20; only 2 council/gov slots</t>
        </is>
      </c>
      <c r="N66" s="6" t="inlineStr">
        <is>
          <t>P2</t>
        </is>
      </c>
      <c r="O66" s="7" t="inlineStr">
        <is>
          <t>Currently p16 on the -old URL</t>
        </is>
      </c>
    </row>
    <row r="67">
      <c r="A67" s="6" t="inlineStr">
        <is>
          <t>UK</t>
        </is>
      </c>
      <c r="B67" s="6" t="inlineStr">
        <is>
          <t>Service</t>
        </is>
      </c>
      <c r="C67" s="6" t="inlineStr">
        <is>
          <t>A - Core commercial</t>
        </is>
      </c>
      <c r="D67" s="7" t="inlineStr">
        <is>
          <t>https://betterwaste.co.uk/commercial-waste-collection/</t>
        </is>
      </c>
      <c r="E67" s="6" t="inlineStr">
        <is>
          <t>OPTIMISE</t>
        </is>
      </c>
      <c r="F67" s="6" t="inlineStr">
        <is>
          <t>commercial waste removal</t>
        </is>
      </c>
      <c r="G67" s="6" t="inlineStr">
        <is>
          <t>Commercial</t>
        </is>
      </c>
      <c r="H67" s="6" t="n">
        <v>590</v>
      </c>
      <c r="I67" s="6" t="n">
        <v>29</v>
      </c>
      <c r="J67" s="6" t="inlineStr"/>
      <c r="K67" s="7" t="inlineStr"/>
      <c r="L67" s="9" t="inlineStr">
        <is>
          <t>MEDIUM</t>
        </is>
      </c>
      <c r="M67" s="7" t="inlineStr">
        <is>
          <t>inherited from "commercial rubbish removal": AS 10 at or below Better Waste (AS 20)</t>
        </is>
      </c>
      <c r="N67" s="6" t="inlineStr">
        <is>
          <t>P2</t>
        </is>
      </c>
      <c r="O67" s="7" t="inlineStr"/>
    </row>
    <row r="68">
      <c r="A68" s="6" t="inlineStr">
        <is>
          <t>UK</t>
        </is>
      </c>
      <c r="B68" s="6" t="inlineStr">
        <is>
          <t>Waste Type</t>
        </is>
      </c>
      <c r="C68" s="6" t="inlineStr">
        <is>
          <t>B - Missing streams</t>
        </is>
      </c>
      <c r="D68" s="7" t="inlineStr">
        <is>
          <t>https://betterwaste.co.uk/construction-waste/</t>
        </is>
      </c>
      <c r="E68" s="6" t="inlineStr">
        <is>
          <t>CREATE</t>
        </is>
      </c>
      <c r="F68" s="6" t="inlineStr">
        <is>
          <t>construction waste disposal</t>
        </is>
      </c>
      <c r="G68" s="6" t="inlineStr">
        <is>
          <t>Commercial</t>
        </is>
      </c>
      <c r="H68" s="6" t="n">
        <v>590</v>
      </c>
      <c r="I68" s="6" t="n">
        <v>28</v>
      </c>
      <c r="J68" s="6" t="inlineStr"/>
      <c r="K68" s="7" t="inlineStr"/>
      <c r="L68" s="9" t="inlineStr">
        <is>
          <t>MEDIUM</t>
        </is>
      </c>
      <c r="M68" s="7" t="inlineStr">
        <is>
          <t>AS 20 (cirecoscotland) at or below Better Waste; Powerday AS 29, Bywaters AS 32, Biffa AS 46 hold the rest</t>
        </is>
      </c>
      <c r="N68" s="6" t="inlineStr">
        <is>
          <t>P3</t>
        </is>
      </c>
      <c r="O68" s="7" t="inlineStr"/>
    </row>
    <row r="69">
      <c r="A69" s="6" t="inlineStr">
        <is>
          <t>UK</t>
        </is>
      </c>
      <c r="B69" s="6" t="inlineStr">
        <is>
          <t>Informational</t>
        </is>
      </c>
      <c r="C69" s="6" t="inlineStr">
        <is>
          <t>C - Bin specs</t>
        </is>
      </c>
      <c r="D69" s="7" t="inlineStr">
        <is>
          <t>https://betterwaste.co.uk/binpedia/</t>
        </is>
      </c>
      <c r="E69" s="6" t="inlineStr">
        <is>
          <t>OPTIMISE</t>
        </is>
      </c>
      <c r="F69" s="6" t="inlineStr">
        <is>
          <t>bin sizes</t>
        </is>
      </c>
      <c r="G69" s="6" t="inlineStr">
        <is>
          <t>Informational</t>
        </is>
      </c>
      <c r="H69" s="6" t="n">
        <v>590</v>
      </c>
      <c r="I69" s="6" t="n">
        <v>8</v>
      </c>
      <c r="J69" s="6" t="n">
        <v>49</v>
      </c>
      <c r="K69" s="7" t="inlineStr">
        <is>
          <t>https://betterwaste.co.uk/binpedia/</t>
        </is>
      </c>
      <c r="L69" s="9" t="inlineStr">
        <is>
          <t>MEDIUM</t>
        </is>
      </c>
      <c r="M69" s="7" t="inlineStr">
        <is>
          <t>inherited from "commercial bin sizes": AS 22 at or below Better Waste (AS 20); 3 council/gov slots</t>
        </is>
      </c>
      <c r="N69" s="6" t="inlineStr">
        <is>
          <t>P1</t>
        </is>
      </c>
      <c r="O69" s="7" t="inlineStr">
        <is>
          <t>Currently p49 - already ranking</t>
        </is>
      </c>
    </row>
    <row r="70">
      <c r="A70" s="6" t="inlineStr">
        <is>
          <t>UK</t>
        </is>
      </c>
      <c r="B70" s="6" t="inlineStr">
        <is>
          <t>Location</t>
        </is>
      </c>
      <c r="C70" s="6" t="inlineStr">
        <is>
          <t>F - Long tail</t>
        </is>
      </c>
      <c r="D70" s="7" t="inlineStr">
        <is>
          <t>https://betterwaste.co.uk/areas-we-cover/birmingham/</t>
        </is>
      </c>
      <c r="E70" s="6" t="inlineStr">
        <is>
          <t>OPTIMISE</t>
        </is>
      </c>
      <c r="F70" s="6" t="inlineStr">
        <is>
          <t>commercial rubbish collection near handsworth birmingham</t>
        </is>
      </c>
      <c r="G70" s="6" t="inlineStr">
        <is>
          <t>Informational</t>
        </is>
      </c>
      <c r="H70" s="6" t="n">
        <v>590</v>
      </c>
      <c r="I70" s="6" t="n">
        <v>15</v>
      </c>
      <c r="J70" s="6" t="n">
        <v>21</v>
      </c>
      <c r="K70" s="7" t="inlineStr">
        <is>
          <t>https://betterwaste.co.uk/areas-we-cover/birmingham/</t>
        </is>
      </c>
      <c r="L70" s="9" t="inlineStr">
        <is>
          <t>MEDIUM</t>
        </is>
      </c>
      <c r="M70" s="7" t="inlineStr">
        <is>
          <t>BORDERLINE: no site at AS&lt;=25 on the shared Manchester commercial-waste SERP, but lowest is AS 27 (kennywastemanagement) vs Better Waste AS 20; only 2 council/gov slots</t>
        </is>
      </c>
      <c r="N70" s="6" t="inlineStr">
        <is>
          <t>P2</t>
        </is>
      </c>
      <c r="O70" s="7" t="inlineStr">
        <is>
          <t>Currently p21</t>
        </is>
      </c>
    </row>
    <row r="71">
      <c r="A71" s="6" t="inlineStr">
        <is>
          <t>UK</t>
        </is>
      </c>
      <c r="B71" s="6" t="inlineStr">
        <is>
          <t>Location</t>
        </is>
      </c>
      <c r="C71" s="6" t="inlineStr">
        <is>
          <t>F - Long tail</t>
        </is>
      </c>
      <c r="D71" s="7" t="inlineStr">
        <is>
          <t>https://betterwaste.co.uk/areas-we-cover/manchester/</t>
        </is>
      </c>
      <c r="E71" s="6" t="inlineStr">
        <is>
          <t>FIX</t>
        </is>
      </c>
      <c r="F71" s="6" t="inlineStr">
        <is>
          <t>commercial rubbish collection near longsight manchester city centre</t>
        </is>
      </c>
      <c r="G71" s="6" t="inlineStr">
        <is>
          <t>Informational</t>
        </is>
      </c>
      <c r="H71" s="6" t="n">
        <v>590</v>
      </c>
      <c r="I71" s="6" t="n">
        <v>20</v>
      </c>
      <c r="J71" s="6" t="n">
        <v>11</v>
      </c>
      <c r="K71" s="7" t="inlineStr">
        <is>
          <t>https://betterwaste.co.uk/areas-we-cover-old/manchester/</t>
        </is>
      </c>
      <c r="L71" s="9" t="inlineStr">
        <is>
          <t>MEDIUM</t>
        </is>
      </c>
      <c r="M71" s="7" t="inlineStr">
        <is>
          <t>BORDERLINE: no site at AS&lt;=25 on the shared Manchester commercial-waste SERP, but lowest is AS 27 (kennywastemanagement) vs Better Waste AS 20; only 2 council/gov slots</t>
        </is>
      </c>
      <c r="N71" s="6" t="inlineStr">
        <is>
          <t>P2</t>
        </is>
      </c>
      <c r="O71" s="7" t="inlineStr">
        <is>
          <t>Currently p11 on the -old URL</t>
        </is>
      </c>
    </row>
    <row r="72">
      <c r="A72" s="6" t="inlineStr">
        <is>
          <t>UK</t>
        </is>
      </c>
      <c r="B72" s="6" t="inlineStr">
        <is>
          <t>Sector</t>
        </is>
      </c>
      <c r="C72" s="6" t="inlineStr">
        <is>
          <t>E - New sectors</t>
        </is>
      </c>
      <c r="D72" s="7" t="inlineStr">
        <is>
          <t>https://betterwaste.co.uk/care-home-waste-management/</t>
        </is>
      </c>
      <c r="E72" s="6" t="inlineStr">
        <is>
          <t>CREATE</t>
        </is>
      </c>
      <c r="F72" s="6" t="inlineStr">
        <is>
          <t>care home waste management</t>
        </is>
      </c>
      <c r="G72" s="6" t="inlineStr">
        <is>
          <t>Informational</t>
        </is>
      </c>
      <c r="H72" s="6" t="n">
        <v>480</v>
      </c>
      <c r="I72" s="6" t="n">
        <v>9</v>
      </c>
      <c r="J72" s="6" t="inlineStr"/>
      <c r="K72" s="7" t="inlineStr"/>
      <c r="L72" s="9" t="inlineStr">
        <is>
          <t>MEDIUM</t>
        </is>
      </c>
      <c r="M72" s="7" t="inlineStr">
        <is>
          <t>AS 10, 22 at or below Better Waste (AS 20)</t>
        </is>
      </c>
      <c r="N72" s="6" t="inlineStr">
        <is>
          <t>P1</t>
        </is>
      </c>
      <c r="O72" s="7" t="inlineStr">
        <is>
          <t>wastemanaged.co.uk p10. Very low KD</t>
        </is>
      </c>
    </row>
    <row r="73">
      <c r="A73" s="6" t="inlineStr">
        <is>
          <t>UK</t>
        </is>
      </c>
      <c r="B73" s="6" t="inlineStr">
        <is>
          <t>Sector</t>
        </is>
      </c>
      <c r="C73" s="6" t="inlineStr">
        <is>
          <t>E - New sectors</t>
        </is>
      </c>
      <c r="D73" s="7" t="inlineStr">
        <is>
          <t>https://betterwaste.co.uk/dental-waste-disposal/</t>
        </is>
      </c>
      <c r="E73" s="6" t="inlineStr">
        <is>
          <t>CREATE</t>
        </is>
      </c>
      <c r="F73" s="6" t="inlineStr">
        <is>
          <t>dental waste disposal</t>
        </is>
      </c>
      <c r="G73" s="6" t="inlineStr">
        <is>
          <t>Informational</t>
        </is>
      </c>
      <c r="H73" s="6" t="n">
        <v>480</v>
      </c>
      <c r="I73" s="6" t="n">
        <v>13</v>
      </c>
      <c r="J73" s="6" t="inlineStr"/>
      <c r="K73" s="7" t="inlineStr"/>
      <c r="L73" s="9" t="inlineStr">
        <is>
          <t>MEDIUM</t>
        </is>
      </c>
      <c r="M73" s="7" t="inlineStr">
        <is>
          <t>AS 10 at or below Better Waste (AS 20)</t>
        </is>
      </c>
      <c r="N73" s="6" t="inlineStr">
        <is>
          <t>P1</t>
        </is>
      </c>
      <c r="O73" s="7" t="inlineStr">
        <is>
          <t>wastemanaged.co.uk p9</t>
        </is>
      </c>
    </row>
    <row r="74">
      <c r="A74" s="6" t="inlineStr">
        <is>
          <t>UK</t>
        </is>
      </c>
      <c r="B74" s="6" t="inlineStr">
        <is>
          <t>Location</t>
        </is>
      </c>
      <c r="C74" s="6" t="inlineStr">
        <is>
          <t>F - Long tail</t>
        </is>
      </c>
      <c r="D74" s="7" t="inlineStr">
        <is>
          <t>https://betterwaste.co.uk/areas-we-cover/manchester/</t>
        </is>
      </c>
      <c r="E74" s="6" t="inlineStr">
        <is>
          <t>FIX</t>
        </is>
      </c>
      <c r="F74" s="6" t="inlineStr">
        <is>
          <t>commercial rubbish collection near manchester</t>
        </is>
      </c>
      <c r="G74" s="6" t="inlineStr">
        <is>
          <t>Commercial</t>
        </is>
      </c>
      <c r="H74" s="6" t="n">
        <v>480</v>
      </c>
      <c r="I74" s="6" t="n">
        <v>12</v>
      </c>
      <c r="J74" s="6" t="n">
        <v>18</v>
      </c>
      <c r="K74" s="7" t="inlineStr">
        <is>
          <t>https://betterwaste.co.uk/areas-we-cover-old/manchester/</t>
        </is>
      </c>
      <c r="L74" s="9" t="inlineStr">
        <is>
          <t>MEDIUM</t>
        </is>
      </c>
      <c r="M74" s="7" t="inlineStr">
        <is>
          <t>BORDERLINE: no site at AS&lt;=25 on the shared Manchester commercial-waste SERP, but lowest is AS 27 (kennywastemanagement) vs Better Waste AS 20; only 2 council/gov slots</t>
        </is>
      </c>
      <c r="N74" s="6" t="inlineStr">
        <is>
          <t>P2</t>
        </is>
      </c>
      <c r="O74" s="7" t="inlineStr">
        <is>
          <t>Currently p18 on the -old URL</t>
        </is>
      </c>
    </row>
    <row r="75">
      <c r="A75" s="6" t="inlineStr">
        <is>
          <t>UK</t>
        </is>
      </c>
      <c r="B75" s="6" t="inlineStr">
        <is>
          <t>Location</t>
        </is>
      </c>
      <c r="C75" s="6" t="inlineStr">
        <is>
          <t>F - Long tail</t>
        </is>
      </c>
      <c r="D75" s="7" t="inlineStr">
        <is>
          <t>https://betterwaste.co.uk/areas-we-cover/london/</t>
        </is>
      </c>
      <c r="E75" s="6" t="inlineStr">
        <is>
          <t>OPTIMISE</t>
        </is>
      </c>
      <c r="F75" s="6" t="inlineStr">
        <is>
          <t>commercial rubbish collection near peckham london</t>
        </is>
      </c>
      <c r="G75" s="6" t="inlineStr">
        <is>
          <t>Informational</t>
        </is>
      </c>
      <c r="H75" s="6" t="n">
        <v>480</v>
      </c>
      <c r="I75" s="6" t="n">
        <v>23</v>
      </c>
      <c r="J75" s="6" t="n">
        <v>28</v>
      </c>
      <c r="K75" s="7" t="inlineStr">
        <is>
          <t>https://betterwaste.co.uk/areas-we-cover/london/</t>
        </is>
      </c>
      <c r="L75" s="9" t="inlineStr">
        <is>
          <t>MEDIUM</t>
        </is>
      </c>
      <c r="M75" s="7" t="inlineStr">
        <is>
          <t>AS 18 (greenlineenvironmental) and 25 (envirowastemanagement) at or below Better Waste (AS 20) on the shared London commercial-waste SERP; 3 council/gov slots</t>
        </is>
      </c>
      <c r="N75" s="6" t="inlineStr">
        <is>
          <t>P3</t>
        </is>
      </c>
      <c r="O75" s="7" t="inlineStr">
        <is>
          <t>Currently p28</t>
        </is>
      </c>
    </row>
    <row r="76">
      <c r="A76" s="6" t="inlineStr">
        <is>
          <t>UK</t>
        </is>
      </c>
      <c r="B76" s="6" t="inlineStr">
        <is>
          <t>Waste Type</t>
        </is>
      </c>
      <c r="C76" s="6" t="inlineStr">
        <is>
          <t>Sheet gap</t>
        </is>
      </c>
      <c r="D76" s="7" t="inlineStr">
        <is>
          <t>https://betterwaste.co.uk/glass-waste/</t>
        </is>
      </c>
      <c r="E76" s="6" t="inlineStr">
        <is>
          <t>OPTIMISE</t>
        </is>
      </c>
      <c r="F76" s="6" t="inlineStr">
        <is>
          <t>commercial glass collection</t>
        </is>
      </c>
      <c r="G76" s="6" t="inlineStr">
        <is>
          <t>Informational</t>
        </is>
      </c>
      <c r="H76" s="6" t="n">
        <v>480</v>
      </c>
      <c r="I76" s="6" t="n">
        <v>17</v>
      </c>
      <c r="J76" s="6" t="n">
        <v>30</v>
      </c>
      <c r="K76" s="7" t="inlineStr">
        <is>
          <t>https://betterwaste.co.uk/glass-waste/</t>
        </is>
      </c>
      <c r="L76" s="9" t="inlineStr">
        <is>
          <t>MEDIUM</t>
        </is>
      </c>
      <c r="M76" s="7" t="inlineStr">
        <is>
          <t>AS 24 at or below Better Waste (AS 20); 3 council/gov slots</t>
        </is>
      </c>
      <c r="N76" s="6" t="inlineStr">
        <is>
          <t>P1</t>
        </is>
      </c>
      <c r="O76" s="7" t="inlineStr">
        <is>
          <t>Not in sheet. Currently p30 - closest to top 10 of all waste-type terms</t>
        </is>
      </c>
    </row>
    <row r="77">
      <c r="A77" s="6" t="inlineStr">
        <is>
          <t>UK</t>
        </is>
      </c>
      <c r="B77" s="6" t="inlineStr">
        <is>
          <t>Waste Type</t>
        </is>
      </c>
      <c r="C77" s="6" t="inlineStr">
        <is>
          <t>B - Missing streams</t>
        </is>
      </c>
      <c r="D77" s="7" t="inlineStr">
        <is>
          <t>https://betterwaste.co.uk/industrial-waste/</t>
        </is>
      </c>
      <c r="E77" s="6" t="inlineStr">
        <is>
          <t>CREATE</t>
        </is>
      </c>
      <c r="F77" s="6" t="inlineStr">
        <is>
          <t>industrial waste collection</t>
        </is>
      </c>
      <c r="G77" s="6" t="inlineStr">
        <is>
          <t>Commercial</t>
        </is>
      </c>
      <c r="H77" s="6" t="n">
        <v>390</v>
      </c>
      <c r="I77" s="6" t="n">
        <v>41</v>
      </c>
      <c r="J77" s="6" t="inlineStr"/>
      <c r="K77" s="7" t="inlineStr"/>
      <c r="L77" s="9" t="inlineStr">
        <is>
          <t>MEDIUM</t>
        </is>
      </c>
      <c r="M77" s="7" t="inlineStr">
        <is>
          <t>inherited from "industrial waste disposal": AS 14 (envirocraft), 18 (oatesenvironmental) at or below Better Waste (AS 20); 3 gov slots incl. hse.gov.uk</t>
        </is>
      </c>
      <c r="N77" s="6" t="inlineStr">
        <is>
          <t>P3</t>
        </is>
      </c>
      <c r="O77" s="7" t="inlineStr"/>
    </row>
    <row r="78">
      <c r="A78" s="6" t="inlineStr">
        <is>
          <t>UK</t>
        </is>
      </c>
      <c r="B78" s="6" t="inlineStr">
        <is>
          <t>Location</t>
        </is>
      </c>
      <c r="C78" s="6" t="inlineStr">
        <is>
          <t>F - Long tail</t>
        </is>
      </c>
      <c r="D78" s="7" t="inlineStr">
        <is>
          <t>https://betterwaste.co.uk/areas-we-cover/london/</t>
        </is>
      </c>
      <c r="E78" s="6" t="inlineStr">
        <is>
          <t>OPTIMISE</t>
        </is>
      </c>
      <c r="F78" s="6" t="inlineStr">
        <is>
          <t>commercial recycling london</t>
        </is>
      </c>
      <c r="G78" s="6" t="inlineStr">
        <is>
          <t>Commercial</t>
        </is>
      </c>
      <c r="H78" s="6" t="n">
        <v>390</v>
      </c>
      <c r="I78" s="6" t="n">
        <v>20</v>
      </c>
      <c r="J78" s="6" t="n">
        <v>28</v>
      </c>
      <c r="K78" s="7" t="inlineStr">
        <is>
          <t>https://betterwaste.co.uk/areas-we-cover/london/</t>
        </is>
      </c>
      <c r="L78" s="9" t="inlineStr">
        <is>
          <t>MEDIUM</t>
        </is>
      </c>
      <c r="M78" s="7" t="inlineStr">
        <is>
          <t>AS 18 (greenlineenvironmental) and 25 (envirowastemanagement) at or below Better Waste (AS 20) on the shared London commercial-waste SERP; 3 council/gov slots</t>
        </is>
      </c>
      <c r="N78" s="6" t="inlineStr">
        <is>
          <t>P2</t>
        </is>
      </c>
      <c r="O78" s="7" t="inlineStr">
        <is>
          <t>Currently p28</t>
        </is>
      </c>
    </row>
    <row r="79">
      <c r="A79" s="6" t="inlineStr">
        <is>
          <t>UK</t>
        </is>
      </c>
      <c r="B79" s="6" t="inlineStr">
        <is>
          <t>Location</t>
        </is>
      </c>
      <c r="C79" s="6" t="inlineStr">
        <is>
          <t>F - Long tail</t>
        </is>
      </c>
      <c r="D79" s="7" t="inlineStr">
        <is>
          <t>https://betterwaste.co.uk/areas-we-cover/manchester/</t>
        </is>
      </c>
      <c r="E79" s="6" t="inlineStr">
        <is>
          <t>FIX</t>
        </is>
      </c>
      <c r="F79" s="6" t="inlineStr">
        <is>
          <t>commercial rubbish collection near fallowfield manchester</t>
        </is>
      </c>
      <c r="G79" s="6" t="inlineStr">
        <is>
          <t>Informational</t>
        </is>
      </c>
      <c r="H79" s="6" t="n">
        <v>390</v>
      </c>
      <c r="I79" s="6" t="n">
        <v>16</v>
      </c>
      <c r="J79" s="6" t="n">
        <v>13</v>
      </c>
      <c r="K79" s="7" t="inlineStr">
        <is>
          <t>https://betterwaste.co.uk/areas-we-cover-old/manchester/</t>
        </is>
      </c>
      <c r="L79" s="9" t="inlineStr">
        <is>
          <t>MEDIUM</t>
        </is>
      </c>
      <c r="M79" s="7" t="inlineStr">
        <is>
          <t>BORDERLINE: no site at AS&lt;=25 on the shared Manchester commercial-waste SERP, but lowest is AS 27 (kennywastemanagement) vs Better Waste AS 20; only 2 council/gov slots</t>
        </is>
      </c>
      <c r="N79" s="6" t="inlineStr">
        <is>
          <t>P3</t>
        </is>
      </c>
      <c r="O79" s="7" t="inlineStr">
        <is>
          <t>Currently p13 on the -old URL</t>
        </is>
      </c>
    </row>
    <row r="80">
      <c r="A80" s="6" t="inlineStr">
        <is>
          <t>UK</t>
        </is>
      </c>
      <c r="B80" s="6" t="inlineStr">
        <is>
          <t>Location</t>
        </is>
      </c>
      <c r="C80" s="6" t="inlineStr">
        <is>
          <t>F - Long tail</t>
        </is>
      </c>
      <c r="D80" s="7" t="inlineStr">
        <is>
          <t>https://betterwaste.co.uk/areas-we-cover/birmingham/</t>
        </is>
      </c>
      <c r="E80" s="6" t="inlineStr">
        <is>
          <t>OPTIMISE</t>
        </is>
      </c>
      <c r="F80" s="6" t="inlineStr">
        <is>
          <t>commercial dump collection service birmingham</t>
        </is>
      </c>
      <c r="G80" s="6" t="inlineStr">
        <is>
          <t>Commercial</t>
        </is>
      </c>
      <c r="H80" s="6" t="n">
        <v>390</v>
      </c>
      <c r="I80" s="6" t="n">
        <v>22</v>
      </c>
      <c r="J80" s="6" t="n">
        <v>27</v>
      </c>
      <c r="K80" s="7" t="inlineStr">
        <is>
          <t>https://betterwaste.co.uk/areas-we-cover/birmingham/</t>
        </is>
      </c>
      <c r="L80" s="9" t="inlineStr">
        <is>
          <t>MEDIUM</t>
        </is>
      </c>
      <c r="M80" s="7" t="inlineStr">
        <is>
          <t>BORDERLINE: no site at AS&lt;=25 on the shared Manchester commercial-waste SERP, but lowest is AS 27 (kennywastemanagement) vs Better Waste AS 20; only 2 council/gov slots</t>
        </is>
      </c>
      <c r="N80" s="6" t="inlineStr">
        <is>
          <t>P3</t>
        </is>
      </c>
      <c r="O80" s="7" t="inlineStr">
        <is>
          <t>Currently p27</t>
        </is>
      </c>
    </row>
    <row r="81">
      <c r="A81" s="6" t="inlineStr">
        <is>
          <t>UK</t>
        </is>
      </c>
      <c r="B81" s="6" t="inlineStr">
        <is>
          <t>Service</t>
        </is>
      </c>
      <c r="C81" s="6" t="inlineStr">
        <is>
          <t>A - Core commercial</t>
        </is>
      </c>
      <c r="D81" s="7" t="inlineStr">
        <is>
          <t>https://betterwaste.co.uk/commercial-waste-collection/</t>
        </is>
      </c>
      <c r="E81" s="6" t="inlineStr">
        <is>
          <t>OPTIMISE</t>
        </is>
      </c>
      <c r="F81" s="6" t="inlineStr">
        <is>
          <t>commercial rubbish removal</t>
        </is>
      </c>
      <c r="G81" s="6" t="inlineStr">
        <is>
          <t>Commercial</t>
        </is>
      </c>
      <c r="H81" s="6" t="n">
        <v>320</v>
      </c>
      <c r="I81" s="6" t="n">
        <v>18</v>
      </c>
      <c r="J81" s="6" t="n">
        <v>69</v>
      </c>
      <c r="K81" s="7" t="inlineStr">
        <is>
          <t>https://betterwaste.co.uk/areas-we-cover/</t>
        </is>
      </c>
      <c r="L81" s="9" t="inlineStr">
        <is>
          <t>MEDIUM</t>
        </is>
      </c>
      <c r="M81" s="7" t="inlineStr">
        <is>
          <t>AS 10 at or below Better Waste (AS 20)</t>
        </is>
      </c>
      <c r="N81" s="6" t="inlineStr">
        <is>
          <t>P1</t>
        </is>
      </c>
      <c r="O81" s="7" t="inlineStr">
        <is>
          <t>Low KD, high commercial value</t>
        </is>
      </c>
    </row>
    <row r="82">
      <c r="A82" s="6" t="inlineStr">
        <is>
          <t>UK</t>
        </is>
      </c>
      <c r="B82" s="6" t="inlineStr">
        <is>
          <t>Sector</t>
        </is>
      </c>
      <c r="C82" s="6" t="inlineStr">
        <is>
          <t>E - New sectors</t>
        </is>
      </c>
      <c r="D82" s="7" t="inlineStr">
        <is>
          <t>https://betterwaste.co.uk/hotel-waste-disposal/</t>
        </is>
      </c>
      <c r="E82" s="6" t="inlineStr">
        <is>
          <t>OPTIMISE</t>
        </is>
      </c>
      <c r="F82" s="6" t="inlineStr">
        <is>
          <t>hotel waste management</t>
        </is>
      </c>
      <c r="G82" s="6" t="inlineStr">
        <is>
          <t>Informational</t>
        </is>
      </c>
      <c r="H82" s="6" t="n">
        <v>320</v>
      </c>
      <c r="I82" s="6" t="n">
        <v>16</v>
      </c>
      <c r="J82" s="6" t="inlineStr"/>
      <c r="K82" s="7" t="inlineStr"/>
      <c r="L82" s="9" t="inlineStr">
        <is>
          <t>MEDIUM</t>
        </is>
      </c>
      <c r="M82" s="7" t="inlineStr">
        <is>
          <t>inherited from "care home waste management": AS 10, 22 at or below Better Waste (AS 20)</t>
        </is>
      </c>
      <c r="N82" s="6" t="inlineStr">
        <is>
          <t>P2</t>
        </is>
      </c>
      <c r="O82" s="7" t="inlineStr"/>
    </row>
    <row r="83">
      <c r="A83" s="6" t="inlineStr">
        <is>
          <t>UK</t>
        </is>
      </c>
      <c r="B83" s="6" t="inlineStr">
        <is>
          <t>Waste Type</t>
        </is>
      </c>
      <c r="C83" s="6" t="inlineStr">
        <is>
          <t>B - Missing streams</t>
        </is>
      </c>
      <c r="D83" s="7" t="inlineStr">
        <is>
          <t>https://betterwaste.co.uk/construction-waste/</t>
        </is>
      </c>
      <c r="E83" s="6" t="inlineStr">
        <is>
          <t>CREATE</t>
        </is>
      </c>
      <c r="F83" s="6" t="inlineStr">
        <is>
          <t>construction waste collection</t>
        </is>
      </c>
      <c r="G83" s="6" t="inlineStr">
        <is>
          <t>Commercial</t>
        </is>
      </c>
      <c r="H83" s="6" t="n">
        <v>260</v>
      </c>
      <c r="I83" s="6" t="n">
        <v>27</v>
      </c>
      <c r="J83" s="6" t="inlineStr"/>
      <c r="K83" s="7" t="inlineStr"/>
      <c r="L83" s="9" t="inlineStr">
        <is>
          <t>MEDIUM</t>
        </is>
      </c>
      <c r="M83" s="7" t="inlineStr">
        <is>
          <t>inherited from "construction waste disposal": AS 20 (cirecoscotland) at or below Better Waste; Powerday AS 29, Bywaters AS 32, Biffa AS 46 hold the rest</t>
        </is>
      </c>
      <c r="N83" s="6" t="inlineStr">
        <is>
          <t>P3</t>
        </is>
      </c>
      <c r="O83" s="7" t="inlineStr"/>
    </row>
    <row r="84">
      <c r="A84" s="6" t="inlineStr">
        <is>
          <t>UK</t>
        </is>
      </c>
      <c r="B84" s="6" t="inlineStr">
        <is>
          <t>Sector</t>
        </is>
      </c>
      <c r="C84" s="6" t="inlineStr">
        <is>
          <t>E - New sectors</t>
        </is>
      </c>
      <c r="D84" s="7" t="inlineStr">
        <is>
          <t>https://betterwaste.co.uk/school-waste-management/</t>
        </is>
      </c>
      <c r="E84" s="6" t="inlineStr">
        <is>
          <t>OPTIMISE</t>
        </is>
      </c>
      <c r="F84" s="6" t="inlineStr">
        <is>
          <t>school waste management</t>
        </is>
      </c>
      <c r="G84" s="6" t="inlineStr">
        <is>
          <t>Informational</t>
        </is>
      </c>
      <c r="H84" s="6" t="n">
        <v>260</v>
      </c>
      <c r="I84" s="6" t="n">
        <v>10</v>
      </c>
      <c r="J84" s="6" t="inlineStr"/>
      <c r="K84" s="7" t="inlineStr"/>
      <c r="L84" s="9" t="inlineStr">
        <is>
          <t>MEDIUM</t>
        </is>
      </c>
      <c r="M84" s="7" t="inlineStr">
        <is>
          <t>AS 19 (unyfi), 20 (aegissupportservices) at or below Better Waste; hills-waste AS 26, samsic AS 28. Informational intent</t>
        </is>
      </c>
      <c r="N84" s="6" t="inlineStr">
        <is>
          <t>P2</t>
        </is>
      </c>
      <c r="O84" s="7" t="inlineStr"/>
    </row>
    <row r="85">
      <c r="A85" s="6" t="inlineStr">
        <is>
          <t>UK</t>
        </is>
      </c>
      <c r="B85" s="6" t="inlineStr">
        <is>
          <t>Location</t>
        </is>
      </c>
      <c r="C85" s="6" t="inlineStr">
        <is>
          <t>F - Locations</t>
        </is>
      </c>
      <c r="D85" s="7" t="inlineStr">
        <is>
          <t>https://betterwaste.co.uk/areas-we-cover/</t>
        </is>
      </c>
      <c r="E85" s="6" t="inlineStr">
        <is>
          <t>OPTIMISE</t>
        </is>
      </c>
      <c r="F85" s="6" t="inlineStr">
        <is>
          <t>commercial waste collection near me</t>
        </is>
      </c>
      <c r="G85" s="6" t="inlineStr">
        <is>
          <t>Transactional</t>
        </is>
      </c>
      <c r="H85" s="6" t="n">
        <v>260</v>
      </c>
      <c r="I85" s="6" t="n">
        <v>25</v>
      </c>
      <c r="J85" s="6" t="inlineStr"/>
      <c r="K85" s="7" t="inlineStr"/>
      <c r="L85" s="9" t="inlineStr">
        <is>
          <t>MEDIUM</t>
        </is>
      </c>
      <c r="M85" s="7" t="inlineStr">
        <is>
          <t>BORDERLINE: no site at AS&lt;=25 on the shared Manchester commercial-waste SERP, but lowest is AS 27 (kennywastemanagement) vs Better Waste AS 20; only 2 council/gov slots</t>
        </is>
      </c>
      <c r="N85" s="6" t="inlineStr">
        <is>
          <t>P2</t>
        </is>
      </c>
      <c r="O85" s="7" t="inlineStr">
        <is>
          <t>Local intent</t>
        </is>
      </c>
    </row>
    <row r="86">
      <c r="A86" s="6" t="inlineStr">
        <is>
          <t>UK</t>
        </is>
      </c>
      <c r="B86" s="6" t="inlineStr">
        <is>
          <t>Waste Type</t>
        </is>
      </c>
      <c r="C86" s="6" t="inlineStr">
        <is>
          <t>Sheet gap</t>
        </is>
      </c>
      <c r="D86" s="7" t="inlineStr">
        <is>
          <t>https://betterwaste.co.uk/food-waste/</t>
        </is>
      </c>
      <c r="E86" s="6" t="inlineStr">
        <is>
          <t>OPTIMISE</t>
        </is>
      </c>
      <c r="F86" s="6" t="inlineStr">
        <is>
          <t>commercial food waste recycling</t>
        </is>
      </c>
      <c r="G86" s="6" t="inlineStr">
        <is>
          <t>Informational</t>
        </is>
      </c>
      <c r="H86" s="6" t="n">
        <v>260</v>
      </c>
      <c r="I86" s="6" t="n">
        <v>26</v>
      </c>
      <c r="J86" s="6" t="n">
        <v>55</v>
      </c>
      <c r="K86" s="7" t="inlineStr">
        <is>
          <t>https://betterwaste.co.uk/food-waste/</t>
        </is>
      </c>
      <c r="L86" s="9" t="inlineStr">
        <is>
          <t>MEDIUM</t>
        </is>
      </c>
      <c r="M86" s="7" t="inlineStr">
        <is>
          <t>inherited from "commercial glass collection": AS 24 at or below Better Waste (AS 20); 3 council/gov slots</t>
        </is>
      </c>
      <c r="N86" s="6" t="inlineStr">
        <is>
          <t>P2</t>
        </is>
      </c>
      <c r="O86" s="7" t="inlineStr">
        <is>
          <t>Not in sheet. Currently p55</t>
        </is>
      </c>
    </row>
    <row r="87">
      <c r="A87" s="6" t="inlineStr">
        <is>
          <t>UK</t>
        </is>
      </c>
      <c r="B87" s="6" t="inlineStr">
        <is>
          <t>Informational</t>
        </is>
      </c>
      <c r="C87" s="6" t="inlineStr">
        <is>
          <t>C - Bin specs</t>
        </is>
      </c>
      <c r="D87" s="7" t="inlineStr">
        <is>
          <t>https://betterwaste.co.uk/binpedia/commercial-bin-sizes/</t>
        </is>
      </c>
      <c r="E87" s="6" t="inlineStr">
        <is>
          <t>CREATE</t>
        </is>
      </c>
      <c r="F87" s="6" t="inlineStr">
        <is>
          <t>commercial bin sizes</t>
        </is>
      </c>
      <c r="G87" s="6" t="inlineStr">
        <is>
          <t>Informational</t>
        </is>
      </c>
      <c r="H87" s="6" t="n">
        <v>210</v>
      </c>
      <c r="I87" s="6" t="n">
        <v>7</v>
      </c>
      <c r="J87" s="6" t="inlineStr"/>
      <c r="K87" s="7" t="inlineStr"/>
      <c r="L87" s="9" t="inlineStr">
        <is>
          <t>MEDIUM</t>
        </is>
      </c>
      <c r="M87" s="7" t="inlineStr">
        <is>
          <t>AS 22 at or below Better Waste (AS 20); 3 council/gov slots</t>
        </is>
      </c>
      <c r="N87" s="6" t="inlineStr">
        <is>
          <t>P1</t>
        </is>
      </c>
      <c r="O87" s="7" t="inlineStr">
        <is>
          <t>Lowest KD on the site</t>
        </is>
      </c>
    </row>
    <row r="88">
      <c r="A88" s="6" t="inlineStr">
        <is>
          <t>UK</t>
        </is>
      </c>
      <c r="B88" s="6" t="inlineStr">
        <is>
          <t>Service</t>
        </is>
      </c>
      <c r="C88" s="6" t="inlineStr">
        <is>
          <t>A - Core commercial</t>
        </is>
      </c>
      <c r="D88" s="7" t="inlineStr">
        <is>
          <t>https://betterwaste.co.uk/commercial-bin-collections/</t>
        </is>
      </c>
      <c r="E88" s="6" t="inlineStr">
        <is>
          <t>OPTIMISE</t>
        </is>
      </c>
      <c r="F88" s="6" t="inlineStr">
        <is>
          <t>commercial bin hire</t>
        </is>
      </c>
      <c r="G88" s="6" t="inlineStr">
        <is>
          <t>Commercial</t>
        </is>
      </c>
      <c r="H88" s="6" t="n">
        <v>170</v>
      </c>
      <c r="I88" s="6" t="n">
        <v>28</v>
      </c>
      <c r="J88" s="6" t="inlineStr"/>
      <c r="K88" s="7" t="inlineStr"/>
      <c r="L88" s="9" t="inlineStr">
        <is>
          <t>MEDIUM</t>
        </is>
      </c>
      <c r="M88" s="7" t="inlineStr">
        <is>
          <t>inherited from "commercial bin sizes": AS 22 at or below Better Waste (AS 20); 3 council/gov slots</t>
        </is>
      </c>
      <c r="N88" s="6" t="inlineStr">
        <is>
          <t>P2</t>
        </is>
      </c>
      <c r="O88" s="7" t="inlineStr"/>
    </row>
    <row r="89">
      <c r="A89" s="6" t="inlineStr">
        <is>
          <t>UK</t>
        </is>
      </c>
      <c r="B89" s="6" t="inlineStr">
        <is>
          <t>Location</t>
        </is>
      </c>
      <c r="C89" s="6" t="inlineStr">
        <is>
          <t>F - Locations</t>
        </is>
      </c>
      <c r="D89" s="7" t="inlineStr">
        <is>
          <t>https://betterwaste.co.uk/areas-we-cover/</t>
        </is>
      </c>
      <c r="E89" s="6" t="inlineStr">
        <is>
          <t>OPTIMISE</t>
        </is>
      </c>
      <c r="F89" s="6" t="inlineStr">
        <is>
          <t>business waste collection near me</t>
        </is>
      </c>
      <c r="G89" s="6" t="inlineStr">
        <is>
          <t>Transactional</t>
        </is>
      </c>
      <c r="H89" s="6" t="n">
        <v>170</v>
      </c>
      <c r="I89" s="6" t="n">
        <v>31</v>
      </c>
      <c r="J89" s="6" t="inlineStr"/>
      <c r="K89" s="7" t="inlineStr"/>
      <c r="L89" s="9" t="inlineStr">
        <is>
          <t>MEDIUM</t>
        </is>
      </c>
      <c r="M89" s="7" t="inlineStr">
        <is>
          <t>BORDERLINE: no site at AS&lt;=25 on the shared Manchester commercial-waste SERP, but lowest is AS 27 (kennywastemanagement) vs Better Waste AS 20; only 2 council/gov slots</t>
        </is>
      </c>
      <c r="N89" s="6" t="inlineStr">
        <is>
          <t>P3</t>
        </is>
      </c>
      <c r="O89" s="7" t="inlineStr">
        <is>
          <t>Local intent</t>
        </is>
      </c>
    </row>
    <row r="90">
      <c r="A90" s="6" t="inlineStr">
        <is>
          <t>UK</t>
        </is>
      </c>
      <c r="B90" s="6" t="inlineStr">
        <is>
          <t>Waste Type</t>
        </is>
      </c>
      <c r="C90" s="6" t="inlineStr">
        <is>
          <t>Sheet gap</t>
        </is>
      </c>
      <c r="D90" s="7" t="inlineStr">
        <is>
          <t>https://betterwaste.co.uk/food-waste/</t>
        </is>
      </c>
      <c r="E90" s="6" t="inlineStr">
        <is>
          <t>OPTIMISE</t>
        </is>
      </c>
      <c r="F90" s="6" t="inlineStr">
        <is>
          <t>commercial kitchen waste management</t>
        </is>
      </c>
      <c r="G90" s="6" t="inlineStr">
        <is>
          <t>Informational</t>
        </is>
      </c>
      <c r="H90" s="6" t="n">
        <v>140</v>
      </c>
      <c r="I90" s="6" t="n">
        <v>11</v>
      </c>
      <c r="J90" s="6" t="n">
        <v>37</v>
      </c>
      <c r="K90" s="7" t="inlineStr">
        <is>
          <t>https://betterwaste.co.uk/food-waste/</t>
        </is>
      </c>
      <c r="L90" s="9" t="inlineStr">
        <is>
          <t>MEDIUM</t>
        </is>
      </c>
      <c r="M90" s="7" t="inlineStr">
        <is>
          <t>inherited from "commercial glass collection": AS 24 at or below Better Waste (AS 20); 3 council/gov slots</t>
        </is>
      </c>
      <c r="N90" s="6" t="inlineStr">
        <is>
          <t>P2</t>
        </is>
      </c>
      <c r="O90" s="7" t="inlineStr">
        <is>
          <t>Not in sheet. Currently p37</t>
        </is>
      </c>
    </row>
    <row r="91">
      <c r="A91" s="6" t="inlineStr">
        <is>
          <t>UK</t>
        </is>
      </c>
      <c r="B91" s="6" t="inlineStr">
        <is>
          <t>Location</t>
        </is>
      </c>
      <c r="C91" s="6" t="inlineStr">
        <is>
          <t>F - Locations</t>
        </is>
      </c>
      <c r="D91" s="7" t="inlineStr">
        <is>
          <t>https://betterwaste.co.uk/areas-we-cover/sheffield/</t>
        </is>
      </c>
      <c r="E91" s="6" t="inlineStr">
        <is>
          <t>OPTIMISE</t>
        </is>
      </c>
      <c r="F91" s="6" t="inlineStr">
        <is>
          <t>commercial waste collection sheffield</t>
        </is>
      </c>
      <c r="G91" s="6" t="inlineStr">
        <is>
          <t>Commercial</t>
        </is>
      </c>
      <c r="H91" s="6" t="n">
        <v>110</v>
      </c>
      <c r="I91" s="6" t="n">
        <v>15</v>
      </c>
      <c r="J91" s="6" t="inlineStr"/>
      <c r="K91" s="7" t="inlineStr"/>
      <c r="L91" s="9" t="inlineStr">
        <is>
          <t>MEDIUM</t>
        </is>
      </c>
      <c r="M91" s="7" t="inlineStr">
        <is>
          <t>AS 24 at or below Better Waste (AS 20); 2 council/gov slots</t>
        </is>
      </c>
      <c r="N91" s="6" t="inlineStr">
        <is>
          <t>P1</t>
        </is>
      </c>
      <c r="O91" s="7" t="inlineStr">
        <is>
          <t>Highest commercial value of the city terms</t>
        </is>
      </c>
    </row>
    <row r="92">
      <c r="A92" s="6" t="inlineStr">
        <is>
          <t>UK</t>
        </is>
      </c>
      <c r="B92" s="6" t="inlineStr">
        <is>
          <t>Informational</t>
        </is>
      </c>
      <c r="C92" s="6" t="inlineStr">
        <is>
          <t>C - Bin specs</t>
        </is>
      </c>
      <c r="D92" s="7" t="inlineStr">
        <is>
          <t>https://betterwaste.co.uk/binpedia/</t>
        </is>
      </c>
      <c r="E92" s="6" t="inlineStr">
        <is>
          <t>OPTIMISE</t>
        </is>
      </c>
      <c r="F92" s="6" t="inlineStr">
        <is>
          <t>waste bin dimensions</t>
        </is>
      </c>
      <c r="G92" s="6" t="inlineStr">
        <is>
          <t>Informational</t>
        </is>
      </c>
      <c r="H92" s="6" t="n">
        <v>90</v>
      </c>
      <c r="I92" s="6" t="n">
        <v>5</v>
      </c>
      <c r="J92" s="6" t="n">
        <v>52</v>
      </c>
      <c r="K92" s="7" t="inlineStr">
        <is>
          <t>https://betterwaste.co.uk/binpedia/</t>
        </is>
      </c>
      <c r="L92" s="9" t="inlineStr">
        <is>
          <t>MEDIUM</t>
        </is>
      </c>
      <c r="M92" s="7" t="inlineStr">
        <is>
          <t>inherited from "commercial bin sizes": AS 22 at or below Better Waste (AS 20); 3 council/gov slots</t>
        </is>
      </c>
      <c r="N92" s="6" t="inlineStr">
        <is>
          <t>P2</t>
        </is>
      </c>
      <c r="O92" s="7" t="inlineStr">
        <is>
          <t>Currently p52</t>
        </is>
      </c>
    </row>
    <row r="93">
      <c r="A93" s="6" t="inlineStr">
        <is>
          <t>UK</t>
        </is>
      </c>
      <c r="B93" s="6" t="inlineStr">
        <is>
          <t>Gap vs competitors</t>
        </is>
      </c>
      <c r="C93" s="6" t="inlineStr">
        <is>
          <t>G - Legislation &amp; news</t>
        </is>
      </c>
      <c r="D93" s="7" t="inlineStr">
        <is>
          <t>https://betterwaste.co.uk/simpler-recycling-legislation-for-businesses-in-england-what-you-need-to-know/</t>
        </is>
      </c>
      <c r="E93" s="6" t="inlineStr">
        <is>
          <t>OPTIMISE</t>
        </is>
      </c>
      <c r="F93" s="6" t="inlineStr">
        <is>
          <t>england bin collection rules 2026</t>
        </is>
      </c>
      <c r="G93" s="6" t="inlineStr">
        <is>
          <t>Informational</t>
        </is>
      </c>
      <c r="H93" s="6" t="n">
        <v>5400</v>
      </c>
      <c r="I93" s="6" t="n">
        <v>34</v>
      </c>
      <c r="J93" s="6" t="inlineStr"/>
      <c r="K93" s="7" t="inlineStr"/>
      <c r="L93" s="10" t="inlineStr">
        <is>
          <t>HARD</t>
        </is>
      </c>
      <c r="M93" s="7" t="inlineStr">
        <is>
          <t>no site at AS&lt;=25 (lowest AS 25, envirowastemanagement at p10); 4 council/gov slots plus BBC and Guardian</t>
        </is>
      </c>
      <c r="N93" s="6" t="inlineStr">
        <is>
          <t>P3</t>
        </is>
      </c>
      <c r="O93" s="7" t="inlineStr">
        <is>
          <t>thefirstmile.co.uk ranks p3</t>
        </is>
      </c>
    </row>
    <row r="94">
      <c r="A94" s="6" t="inlineStr">
        <is>
          <t>UK</t>
        </is>
      </c>
      <c r="B94" s="6" t="inlineStr">
        <is>
          <t>Gap vs competitors</t>
        </is>
      </c>
      <c r="C94" s="6" t="inlineStr">
        <is>
          <t>G - Legislation &amp; news</t>
        </is>
      </c>
      <c r="D94" s="7" t="inlineStr">
        <is>
          <t>https://betterwaste.co.uk/simpler-recycling-legislation-for-businesses-in-england-what-you-need-to-know/</t>
        </is>
      </c>
      <c r="E94" s="6" t="inlineStr">
        <is>
          <t>OPTIMISE</t>
        </is>
      </c>
      <c r="F94" s="6" t="inlineStr">
        <is>
          <t>england new recycling rules</t>
        </is>
      </c>
      <c r="G94" s="6" t="inlineStr">
        <is>
          <t>Informational</t>
        </is>
      </c>
      <c r="H94" s="6" t="n">
        <v>5400</v>
      </c>
      <c r="I94" s="6" t="n">
        <v>53</v>
      </c>
      <c r="J94" s="6" t="inlineStr"/>
      <c r="K94" s="7" t="inlineStr"/>
      <c r="L94" s="10" t="inlineStr">
        <is>
          <t>HARD</t>
        </is>
      </c>
      <c r="M94" s="7" t="inlineStr">
        <is>
          <t>inherited from "england bin collection rules 2026": no site at AS&lt;=25 (lowest AS 25, envirowastemanagement at p10); 4 council/gov slots plus BBC and Guardian</t>
        </is>
      </c>
      <c r="N94" s="6" t="inlineStr">
        <is>
          <t>P3</t>
        </is>
      </c>
      <c r="O94" s="7" t="inlineStr">
        <is>
          <t>thefirstmile.co.uk ranks p3</t>
        </is>
      </c>
    </row>
    <row r="95">
      <c r="A95" s="6" t="inlineStr">
        <is>
          <t>UK</t>
        </is>
      </c>
      <c r="B95" s="6" t="inlineStr">
        <is>
          <t>Informational</t>
        </is>
      </c>
      <c r="C95" s="6" t="inlineStr">
        <is>
          <t>D - Compliance</t>
        </is>
      </c>
      <c r="D95" s="7" t="inlineStr">
        <is>
          <t>https://betterwaste.co.uk/waste-carriers-licence/</t>
        </is>
      </c>
      <c r="E95" s="6" t="inlineStr">
        <is>
          <t>CREATE</t>
        </is>
      </c>
      <c r="F95" s="6" t="inlineStr">
        <is>
          <t>waste carriers licence</t>
        </is>
      </c>
      <c r="G95" s="6" t="inlineStr">
        <is>
          <t>Commercial</t>
        </is>
      </c>
      <c r="H95" s="6" t="n">
        <v>4400</v>
      </c>
      <c r="I95" s="6" t="n">
        <v>38</v>
      </c>
      <c r="J95" s="6" t="inlineStr"/>
      <c r="K95" s="7" t="inlineStr"/>
      <c r="L95" s="10" t="inlineStr">
        <is>
          <t>HARD</t>
        </is>
      </c>
      <c r="M95" s="7" t="inlineStr">
        <is>
          <t>no ranking site at AS&lt;=25 (lowest AS 26); 6 council/gov slots</t>
        </is>
      </c>
      <c r="N95" s="6" t="inlineStr">
        <is>
          <t>P2</t>
        </is>
      </c>
      <c r="O95" s="7" t="inlineStr">
        <is>
          <t>Link-bait. businesswaste.co.uk p7</t>
        </is>
      </c>
    </row>
    <row r="96">
      <c r="A96" s="6" t="inlineStr">
        <is>
          <t>UK</t>
        </is>
      </c>
      <c r="B96" s="6" t="inlineStr">
        <is>
          <t>Service</t>
        </is>
      </c>
      <c r="C96" s="6" t="inlineStr">
        <is>
          <t>A - Core commercial</t>
        </is>
      </c>
      <c r="D96" s="7" t="inlineStr">
        <is>
          <t>https://betterwaste.co.uk/commercial-waste-collection/</t>
        </is>
      </c>
      <c r="E96" s="6" t="inlineStr">
        <is>
          <t>OPTIMISE</t>
        </is>
      </c>
      <c r="F96" s="6" t="inlineStr">
        <is>
          <t>commercial waste collection</t>
        </is>
      </c>
      <c r="G96" s="6" t="inlineStr">
        <is>
          <t>Commercial</t>
        </is>
      </c>
      <c r="H96" s="6" t="n">
        <v>3600</v>
      </c>
      <c r="I96" s="6" t="n">
        <v>25</v>
      </c>
      <c r="J96" s="6" t="inlineStr"/>
      <c r="K96" s="7" t="inlineStr"/>
      <c r="L96" s="10" t="inlineStr">
        <is>
          <t>HARD</t>
        </is>
      </c>
      <c r="M96" s="7" t="inlineStr">
        <is>
          <t>no ranking site at AS&lt;=25 (lowest AS 31); 6 council/gov slots</t>
        </is>
      </c>
      <c r="N96" s="6" t="inlineStr">
        <is>
          <t>P1</t>
        </is>
      </c>
      <c r="O96" s="7" t="inlineStr">
        <is>
          <t>Primary target. businesswaste.co.uk ranks p5</t>
        </is>
      </c>
    </row>
    <row r="97">
      <c r="A97" s="6" t="inlineStr">
        <is>
          <t>UK</t>
        </is>
      </c>
      <c r="B97" s="6" t="inlineStr">
        <is>
          <t>Service</t>
        </is>
      </c>
      <c r="C97" s="6" t="inlineStr">
        <is>
          <t>A - Core commercial</t>
        </is>
      </c>
      <c r="D97" s="7" t="inlineStr">
        <is>
          <t>https://betterwaste.co.uk/commercial-waste-collection/</t>
        </is>
      </c>
      <c r="E97" s="6" t="inlineStr">
        <is>
          <t>OPTIMISE</t>
        </is>
      </c>
      <c r="F97" s="6" t="inlineStr">
        <is>
          <t>commercial waste disposal</t>
        </is>
      </c>
      <c r="G97" s="6" t="inlineStr">
        <is>
          <t>Informational</t>
        </is>
      </c>
      <c r="H97" s="6" t="n">
        <v>3600</v>
      </c>
      <c r="I97" s="6" t="n">
        <v>34</v>
      </c>
      <c r="J97" s="6" t="inlineStr"/>
      <c r="K97" s="7" t="inlineStr"/>
      <c r="L97" s="10" t="inlineStr">
        <is>
          <t>HARD</t>
        </is>
      </c>
      <c r="M97" s="7" t="inlineStr">
        <is>
          <t>no ranking site at AS&lt;=25 (lowest AS 29); 5 council/gov slots</t>
        </is>
      </c>
      <c r="N97" s="6" t="inlineStr">
        <is>
          <t>P1</t>
        </is>
      </c>
      <c r="O97" s="7" t="inlineStr">
        <is>
          <t>businesswaste.co.uk ranks p5</t>
        </is>
      </c>
    </row>
    <row r="98">
      <c r="A98" s="6" t="inlineStr">
        <is>
          <t>UK</t>
        </is>
      </c>
      <c r="B98" s="6" t="inlineStr">
        <is>
          <t>Informational</t>
        </is>
      </c>
      <c r="C98" s="6" t="inlineStr">
        <is>
          <t>D - Compliance</t>
        </is>
      </c>
      <c r="D98" s="7" t="inlineStr">
        <is>
          <t>https://betterwaste.co.uk/extended-producer-responsibility/</t>
        </is>
      </c>
      <c r="E98" s="6" t="inlineStr">
        <is>
          <t>CREATE</t>
        </is>
      </c>
      <c r="F98" s="6" t="inlineStr">
        <is>
          <t>extended producer responsibility</t>
        </is>
      </c>
      <c r="G98" s="6" t="inlineStr">
        <is>
          <t>Informational</t>
        </is>
      </c>
      <c r="H98" s="6" t="n">
        <v>3600</v>
      </c>
      <c r="I98" s="6" t="n">
        <v>46</v>
      </c>
      <c r="J98" s="6" t="inlineStr"/>
      <c r="K98" s="7" t="inlineStr"/>
      <c r="L98" s="10" t="inlineStr">
        <is>
          <t>HARD</t>
        </is>
      </c>
      <c r="M98" s="7" t="inlineStr">
        <is>
          <t>inherited from "waste carriers licence": no ranking site at AS&lt;=25 (lowest AS 26); 6 council/gov slots</t>
        </is>
      </c>
      <c r="N98" s="6" t="inlineStr">
        <is>
          <t>P3</t>
        </is>
      </c>
      <c r="O98" s="7" t="inlineStr">
        <is>
          <t>Highest KD in cluster</t>
        </is>
      </c>
    </row>
    <row r="99">
      <c r="A99" s="6" t="inlineStr">
        <is>
          <t>UK</t>
        </is>
      </c>
      <c r="B99" s="6" t="inlineStr">
        <is>
          <t>Gap vs competitors</t>
        </is>
      </c>
      <c r="C99" s="6" t="inlineStr">
        <is>
          <t>G - Compliance</t>
        </is>
      </c>
      <c r="D99" s="7" t="inlineStr">
        <is>
          <t>https://betterwaste.co.uk/environmental-protection-act/</t>
        </is>
      </c>
      <c r="E99" s="6" t="inlineStr">
        <is>
          <t>CREATE</t>
        </is>
      </c>
      <c r="F99" s="6" t="inlineStr">
        <is>
          <t>environmental protection act 1990</t>
        </is>
      </c>
      <c r="G99" s="6" t="inlineStr">
        <is>
          <t>Navigational</t>
        </is>
      </c>
      <c r="H99" s="6" t="n">
        <v>3600</v>
      </c>
      <c r="I99" s="6" t="n">
        <v>25</v>
      </c>
      <c r="J99" s="6" t="inlineStr"/>
      <c r="K99" s="7" t="inlineStr"/>
      <c r="L99" s="10" t="inlineStr">
        <is>
          <t>HARD</t>
        </is>
      </c>
      <c r="M99" s="7" t="inlineStr">
        <is>
          <t>inherited from "waste transfer note": AS 23 at or below Better Waste (AS 20); 4 council/gov slots</t>
        </is>
      </c>
      <c r="N99" s="6" t="inlineStr">
        <is>
          <t>P3</t>
        </is>
      </c>
      <c r="O99" s="7" t="inlineStr">
        <is>
          <t>businesswaste.co.uk ranks p2</t>
        </is>
      </c>
    </row>
    <row r="100">
      <c r="A100" s="6" t="inlineStr">
        <is>
          <t>UK</t>
        </is>
      </c>
      <c r="B100" s="6" t="inlineStr">
        <is>
          <t>Service</t>
        </is>
      </c>
      <c r="C100" s="6" t="inlineStr">
        <is>
          <t>A - Core commercial</t>
        </is>
      </c>
      <c r="D100" s="7" t="inlineStr">
        <is>
          <t>https://betterwaste.co.uk/commercial-waste-collection/</t>
        </is>
      </c>
      <c r="E100" s="6" t="inlineStr">
        <is>
          <t>OPTIMISE</t>
        </is>
      </c>
      <c r="F100" s="6" t="inlineStr">
        <is>
          <t>commercial waste management</t>
        </is>
      </c>
      <c r="G100" s="6" t="inlineStr">
        <is>
          <t>Commercial</t>
        </is>
      </c>
      <c r="H100" s="6" t="n">
        <v>2900</v>
      </c>
      <c r="I100" s="6" t="n">
        <v>33</v>
      </c>
      <c r="J100" s="6" t="inlineStr"/>
      <c r="K100" s="7" t="inlineStr"/>
      <c r="L100" s="10" t="inlineStr">
        <is>
          <t>HARD</t>
        </is>
      </c>
      <c r="M100" s="7" t="inlineStr">
        <is>
          <t>no ranking site at AS&lt;=25 (lowest AS 41); 4 council/gov slots</t>
        </is>
      </c>
      <c r="N100" s="6" t="inlineStr">
        <is>
          <t>P1</t>
        </is>
      </c>
      <c r="O100" s="7" t="inlineStr">
        <is>
          <t>Consolidate existing /commercial-waste-management/ here</t>
        </is>
      </c>
    </row>
    <row r="101">
      <c r="A101" s="6" t="inlineStr">
        <is>
          <t>UK</t>
        </is>
      </c>
      <c r="B101" s="6" t="inlineStr">
        <is>
          <t>Gap vs competitors</t>
        </is>
      </c>
      <c r="C101" s="6" t="inlineStr">
        <is>
          <t>G - Legislation &amp; news</t>
        </is>
      </c>
      <c r="D101" s="7" t="inlineStr">
        <is>
          <t>https://betterwaste.co.uk/simpler-recycling-legislation-for-businesses-in-england-what-you-need-to-know/</t>
        </is>
      </c>
      <c r="E101" s="6" t="inlineStr">
        <is>
          <t>OPTIMISE</t>
        </is>
      </c>
      <c r="F101" s="6" t="inlineStr">
        <is>
          <t>new paper cardboard recycling rules</t>
        </is>
      </c>
      <c r="G101" s="6" t="inlineStr">
        <is>
          <t>Informational</t>
        </is>
      </c>
      <c r="H101" s="6" t="n">
        <v>2900</v>
      </c>
      <c r="I101" s="6" t="n">
        <v>22</v>
      </c>
      <c r="J101" s="6" t="inlineStr"/>
      <c r="K101" s="7" t="inlineStr"/>
      <c r="L101" s="10" t="inlineStr">
        <is>
          <t>HARD</t>
        </is>
      </c>
      <c r="M101" s="7" t="inlineStr">
        <is>
          <t>inherited from "england bin collection rules 2026": no site at AS&lt;=25 (lowest AS 25, envirowastemanagement at p10); 4 council/gov slots plus BBC and Guardian</t>
        </is>
      </c>
      <c r="N101" s="6" t="inlineStr">
        <is>
          <t>P3</t>
        </is>
      </c>
      <c r="O101" s="7" t="inlineStr">
        <is>
          <t>thefirstmile.co.uk ranks p9</t>
        </is>
      </c>
    </row>
    <row r="102">
      <c r="A102" s="6" t="inlineStr">
        <is>
          <t>UK</t>
        </is>
      </c>
      <c r="B102" s="6" t="inlineStr">
        <is>
          <t>Gap vs competitors</t>
        </is>
      </c>
      <c r="C102" s="6" t="inlineStr">
        <is>
          <t>G - Other streams</t>
        </is>
      </c>
      <c r="D102" s="7" t="inlineStr">
        <is>
          <t>https://betterwaste.co.uk/weee-recycling/</t>
        </is>
      </c>
      <c r="E102" s="6" t="inlineStr">
        <is>
          <t>CREATE</t>
        </is>
      </c>
      <c r="F102" s="6" t="inlineStr">
        <is>
          <t>weee waste</t>
        </is>
      </c>
      <c r="G102" s="6" t="inlineStr">
        <is>
          <t>Informational</t>
        </is>
      </c>
      <c r="H102" s="6" t="n">
        <v>2900</v>
      </c>
      <c r="I102" s="6" t="n">
        <v>30</v>
      </c>
      <c r="J102" s="6" t="inlineStr"/>
      <c r="K102" s="7" t="inlineStr"/>
      <c r="L102" s="10" t="inlineStr">
        <is>
          <t>HARD</t>
        </is>
      </c>
      <c r="M102" s="7" t="inlineStr">
        <is>
          <t>no site at AS&lt;=25 (lowest AS 34, reconomy); gov.uk, legislation.gov.uk, europa.eu and Wikipedia hold the SERP</t>
        </is>
      </c>
      <c r="N102" s="6" t="inlineStr">
        <is>
          <t>P3</t>
        </is>
      </c>
      <c r="O102" s="7" t="inlineStr">
        <is>
          <t>Checked and rejected as a primary target - see Evidence</t>
        </is>
      </c>
    </row>
    <row r="103">
      <c r="A103" s="6" t="inlineStr">
        <is>
          <t>UK</t>
        </is>
      </c>
      <c r="B103" s="6" t="inlineStr">
        <is>
          <t>Gap vs competitors</t>
        </is>
      </c>
      <c r="C103" s="6" t="inlineStr">
        <is>
          <t>G - Compliance</t>
        </is>
      </c>
      <c r="D103" s="7" t="inlineStr">
        <is>
          <t>https://betterwaste.co.uk/environmental-protection-act/</t>
        </is>
      </c>
      <c r="E103" s="6" t="inlineStr">
        <is>
          <t>CREATE</t>
        </is>
      </c>
      <c r="F103" s="6" t="inlineStr">
        <is>
          <t>environmental protection act</t>
        </is>
      </c>
      <c r="G103" s="6" t="inlineStr">
        <is>
          <t>Informational</t>
        </is>
      </c>
      <c r="H103" s="6" t="n">
        <v>2400</v>
      </c>
      <c r="I103" s="6" t="n">
        <v>24</v>
      </c>
      <c r="J103" s="6" t="inlineStr"/>
      <c r="K103" s="7" t="inlineStr"/>
      <c r="L103" s="10" t="inlineStr">
        <is>
          <t>HARD</t>
        </is>
      </c>
      <c r="M103" s="7" t="inlineStr">
        <is>
          <t>inherited from "waste transfer note": AS 23 at or below Better Waste (AS 20); 4 council/gov slots</t>
        </is>
      </c>
      <c r="N103" s="6" t="inlineStr">
        <is>
          <t>P3</t>
        </is>
      </c>
      <c r="O103" s="7" t="inlineStr">
        <is>
          <t>businesswaste.co.uk ranks p5</t>
        </is>
      </c>
    </row>
    <row r="104">
      <c r="A104" s="6" t="inlineStr">
        <is>
          <t>UK</t>
        </is>
      </c>
      <c r="B104" s="6" t="inlineStr">
        <is>
          <t>Informational</t>
        </is>
      </c>
      <c r="C104" s="6" t="inlineStr">
        <is>
          <t>D - Compliance</t>
        </is>
      </c>
      <c r="D104" s="7" t="inlineStr">
        <is>
          <t>https://betterwaste.co.uk/waste-transfer-note/</t>
        </is>
      </c>
      <c r="E104" s="6" t="inlineStr">
        <is>
          <t>CREATE</t>
        </is>
      </c>
      <c r="F104" s="6" t="inlineStr">
        <is>
          <t>waste transfer note</t>
        </is>
      </c>
      <c r="G104" s="6" t="inlineStr">
        <is>
          <t>Informational</t>
        </is>
      </c>
      <c r="H104" s="6" t="n">
        <v>1900</v>
      </c>
      <c r="I104" s="6" t="n">
        <v>16</v>
      </c>
      <c r="J104" s="6" t="inlineStr"/>
      <c r="K104" s="7" t="inlineStr"/>
      <c r="L104" s="10" t="inlineStr">
        <is>
          <t>HARD</t>
        </is>
      </c>
      <c r="M104" s="7" t="inlineStr">
        <is>
          <t>AS 23 at or below Better Waste (AS 20); 4 council/gov slots</t>
        </is>
      </c>
      <c r="N104" s="6" t="inlineStr">
        <is>
          <t>P1</t>
        </is>
      </c>
      <c r="O104" s="7" t="inlineStr">
        <is>
          <t>Low KD high relevance link target</t>
        </is>
      </c>
    </row>
    <row r="105">
      <c r="A105" s="6" t="inlineStr">
        <is>
          <t>UK</t>
        </is>
      </c>
      <c r="B105" s="6" t="inlineStr">
        <is>
          <t>Service</t>
        </is>
      </c>
      <c r="C105" s="6" t="inlineStr">
        <is>
          <t>A - Core commercial</t>
        </is>
      </c>
      <c r="D105" s="7" t="inlineStr">
        <is>
          <t>https://betterwaste.co.uk/commercial-waste-collection/</t>
        </is>
      </c>
      <c r="E105" s="6" t="inlineStr">
        <is>
          <t>OPTIMISE</t>
        </is>
      </c>
      <c r="F105" s="6" t="inlineStr">
        <is>
          <t>commercial waste</t>
        </is>
      </c>
      <c r="G105" s="6" t="inlineStr">
        <is>
          <t>Informational</t>
        </is>
      </c>
      <c r="H105" s="6" t="n">
        <v>1600</v>
      </c>
      <c r="I105" s="6" t="n">
        <v>26</v>
      </c>
      <c r="J105" s="6" t="n">
        <v>64</v>
      </c>
      <c r="K105" s="7" t="inlineStr">
        <is>
          <t>https://betterwaste.co.uk/areas-we-cover/</t>
        </is>
      </c>
      <c r="L105" s="10" t="inlineStr">
        <is>
          <t>HARD</t>
        </is>
      </c>
      <c r="M105" s="7" t="inlineStr">
        <is>
          <t>inherited from "commercial waste collection": no ranking site at AS&lt;=25 (lowest AS 31); 6 council/gov slots</t>
        </is>
      </c>
      <c r="N105" s="6" t="inlineStr">
        <is>
          <t>P1</t>
        </is>
      </c>
      <c r="O105" s="7" t="inlineStr">
        <is>
          <t>businesswaste.co.uk ranks p6</t>
        </is>
      </c>
    </row>
    <row r="106">
      <c r="A106" s="6" t="inlineStr">
        <is>
          <t>UK</t>
        </is>
      </c>
      <c r="B106" s="6" t="inlineStr">
        <is>
          <t>Gap vs competitors</t>
        </is>
      </c>
      <c r="C106" s="6" t="inlineStr">
        <is>
          <t>G - Legislation &amp; news</t>
        </is>
      </c>
      <c r="D106" s="7" t="inlineStr">
        <is>
          <t>https://betterwaste.co.uk/simpler-recycling-legislation-for-businesses-in-england-what-you-need-to-know/</t>
        </is>
      </c>
      <c r="E106" s="6" t="inlineStr">
        <is>
          <t>OPTIMISE</t>
        </is>
      </c>
      <c r="F106" s="6" t="inlineStr">
        <is>
          <t>new bin rules england 2026</t>
        </is>
      </c>
      <c r="G106" s="6" t="inlineStr">
        <is>
          <t>Informational</t>
        </is>
      </c>
      <c r="H106" s="6" t="n">
        <v>1600</v>
      </c>
      <c r="I106" s="6" t="n">
        <v>21</v>
      </c>
      <c r="J106" s="6" t="inlineStr"/>
      <c r="K106" s="7" t="inlineStr"/>
      <c r="L106" s="10" t="inlineStr">
        <is>
          <t>HARD</t>
        </is>
      </c>
      <c r="M106" s="7" t="inlineStr">
        <is>
          <t>inherited from "england bin collection rules 2026": no site at AS&lt;=25 (lowest AS 25, envirowastemanagement at p10); 4 council/gov slots plus BBC and Guardian</t>
        </is>
      </c>
      <c r="N106" s="6" t="inlineStr">
        <is>
          <t>P3</t>
        </is>
      </c>
      <c r="O106" s="7" t="inlineStr">
        <is>
          <t>thefirstmile.co.uk ranks p8</t>
        </is>
      </c>
    </row>
    <row r="107">
      <c r="A107" s="6" t="inlineStr">
        <is>
          <t>UK</t>
        </is>
      </c>
      <c r="B107" s="6" t="inlineStr">
        <is>
          <t>Gap vs competitors</t>
        </is>
      </c>
      <c r="C107" s="6" t="inlineStr">
        <is>
          <t>G - Compliance</t>
        </is>
      </c>
      <c r="D107" s="7" t="inlineStr">
        <is>
          <t>https://betterwaste.co.uk/weee-recycling/</t>
        </is>
      </c>
      <c r="E107" s="6" t="inlineStr">
        <is>
          <t>CREATE</t>
        </is>
      </c>
      <c r="F107" s="6" t="inlineStr">
        <is>
          <t>weee regulations</t>
        </is>
      </c>
      <c r="G107" s="6" t="inlineStr">
        <is>
          <t>Informational</t>
        </is>
      </c>
      <c r="H107" s="6" t="n">
        <v>1600</v>
      </c>
      <c r="I107" s="6" t="n">
        <v>28</v>
      </c>
      <c r="J107" s="6" t="inlineStr"/>
      <c r="K107" s="7" t="inlineStr"/>
      <c r="L107" s="10" t="inlineStr">
        <is>
          <t>HARD</t>
        </is>
      </c>
      <c r="M107" s="7" t="inlineStr">
        <is>
          <t>inherited from "waste transfer note": AS 23 at or below Better Waste (AS 20); 4 council/gov slots</t>
        </is>
      </c>
      <c r="N107" s="6" t="inlineStr">
        <is>
          <t>P3</t>
        </is>
      </c>
      <c r="O107" s="7" t="inlineStr">
        <is>
          <t>businesswaste.co.uk ranks p3</t>
        </is>
      </c>
    </row>
    <row r="108">
      <c r="A108" s="6" t="inlineStr">
        <is>
          <t>UK</t>
        </is>
      </c>
      <c r="B108" s="6" t="inlineStr">
        <is>
          <t>Service</t>
        </is>
      </c>
      <c r="C108" s="6" t="inlineStr">
        <is>
          <t>A - Core commercial</t>
        </is>
      </c>
      <c r="D108" s="7" t="inlineStr">
        <is>
          <t>https://betterwaste.co.uk/commercial-waste-collection/</t>
        </is>
      </c>
      <c r="E108" s="6" t="inlineStr">
        <is>
          <t>OPTIMISE</t>
        </is>
      </c>
      <c r="F108" s="6" t="inlineStr">
        <is>
          <t>business waste disposal</t>
        </is>
      </c>
      <c r="G108" s="6" t="inlineStr">
        <is>
          <t>Commercial</t>
        </is>
      </c>
      <c r="H108" s="6" t="n">
        <v>1300</v>
      </c>
      <c r="I108" s="6" t="n">
        <v>37</v>
      </c>
      <c r="J108" s="6" t="n">
        <v>71</v>
      </c>
      <c r="K108" s="7" t="inlineStr">
        <is>
          <t>https://betterwaste.co.uk/areas-we-cover/</t>
        </is>
      </c>
      <c r="L108" s="10" t="inlineStr">
        <is>
          <t>HARD</t>
        </is>
      </c>
      <c r="M108" s="7" t="inlineStr">
        <is>
          <t>inherited from "commercial waste disposal": no ranking site at AS&lt;=25 (lowest AS 29); 5 council/gov slots</t>
        </is>
      </c>
      <c r="N108" s="6" t="inlineStr">
        <is>
          <t>P1</t>
        </is>
      </c>
      <c r="O108" s="7" t="inlineStr">
        <is>
          <t>businesswaste.co.uk ranks p2</t>
        </is>
      </c>
    </row>
    <row r="109">
      <c r="A109" s="6" t="inlineStr">
        <is>
          <t>UK</t>
        </is>
      </c>
      <c r="B109" s="6" t="inlineStr">
        <is>
          <t>Service</t>
        </is>
      </c>
      <c r="C109" s="6" t="inlineStr">
        <is>
          <t>A - Core commercial</t>
        </is>
      </c>
      <c r="D109" s="7" t="inlineStr">
        <is>
          <t>https://betterwaste.co.uk/commercial-waste-collection/</t>
        </is>
      </c>
      <c r="E109" s="6" t="inlineStr">
        <is>
          <t>OPTIMISE</t>
        </is>
      </c>
      <c r="F109" s="6" t="inlineStr">
        <is>
          <t>trade waste</t>
        </is>
      </c>
      <c r="G109" s="6" t="inlineStr">
        <is>
          <t>Commercial</t>
        </is>
      </c>
      <c r="H109" s="6" t="n">
        <v>1300</v>
      </c>
      <c r="I109" s="6" t="n">
        <v>26</v>
      </c>
      <c r="J109" s="6" t="inlineStr"/>
      <c r="K109" s="7" t="inlineStr"/>
      <c r="L109" s="10" t="inlineStr">
        <is>
          <t>HARD</t>
        </is>
      </c>
      <c r="M109" s="7" t="inlineStr">
        <is>
          <t>inherited from "trade waste collection": no ranking site at AS&lt;=25 (lowest AS 46); 6 council/gov slots</t>
        </is>
      </c>
      <c r="N109" s="6" t="inlineStr">
        <is>
          <t>P1</t>
        </is>
      </c>
      <c r="O109" s="7" t="inlineStr"/>
    </row>
    <row r="110">
      <c r="A110" s="6" t="inlineStr">
        <is>
          <t>UK</t>
        </is>
      </c>
      <c r="B110" s="6" t="inlineStr">
        <is>
          <t>Informational</t>
        </is>
      </c>
      <c r="C110" s="6" t="inlineStr">
        <is>
          <t>D - Compliance</t>
        </is>
      </c>
      <c r="D110" s="7" t="inlineStr">
        <is>
          <t>https://betterwaste.co.uk/simpler-recycling-legislation-for-businesses-in-england-what-you-need-to-know/</t>
        </is>
      </c>
      <c r="E110" s="6" t="inlineStr">
        <is>
          <t>OPTIMISE</t>
        </is>
      </c>
      <c r="F110" s="6" t="inlineStr">
        <is>
          <t>simpler recycling</t>
        </is>
      </c>
      <c r="G110" s="6" t="inlineStr">
        <is>
          <t>Informational</t>
        </is>
      </c>
      <c r="H110" s="6" t="n">
        <v>1000</v>
      </c>
      <c r="I110" s="6" t="n">
        <v>22</v>
      </c>
      <c r="J110" s="6" t="n">
        <v>14</v>
      </c>
      <c r="K110" s="7" t="inlineStr">
        <is>
          <t>https://betterwaste.co.uk/simpler-recycling-legislation-for-businesses-in-england-what-you-need-to-know/</t>
        </is>
      </c>
      <c r="L110" s="10" t="inlineStr">
        <is>
          <t>HARD</t>
        </is>
      </c>
      <c r="M110" s="7" t="inlineStr">
        <is>
          <t>no site at AS&lt;=25 (lowest AS 41); 4 council/gov slots. Top 3 unreachable - but Better Waste is already p14, so p8-10 is a realistic partial win</t>
        </is>
      </c>
      <c r="N110" s="6" t="inlineStr">
        <is>
          <t>P1</t>
        </is>
      </c>
      <c r="O110" s="7" t="inlineStr">
        <is>
          <t>CURRENTLY P14 - cheapest win on the site</t>
        </is>
      </c>
    </row>
    <row r="111">
      <c r="A111" s="6" t="inlineStr">
        <is>
          <t>UK</t>
        </is>
      </c>
      <c r="B111" s="6" t="inlineStr">
        <is>
          <t>Gap vs competitors</t>
        </is>
      </c>
      <c r="C111" s="6" t="inlineStr">
        <is>
          <t>G - Legislation &amp; news</t>
        </is>
      </c>
      <c r="D111" s="7" t="inlineStr">
        <is>
          <t>https://betterwaste.co.uk/simpler-recycling-legislation-for-businesses-in-england-what-you-need-to-know/</t>
        </is>
      </c>
      <c r="E111" s="6" t="inlineStr">
        <is>
          <t>OPTIMISE</t>
        </is>
      </c>
      <c r="F111" s="6" t="inlineStr">
        <is>
          <t>england recycling rules change</t>
        </is>
      </c>
      <c r="G111" s="6" t="inlineStr">
        <is>
          <t>Informational</t>
        </is>
      </c>
      <c r="H111" s="6" t="n">
        <v>1000</v>
      </c>
      <c r="I111" s="6" t="n">
        <v>34</v>
      </c>
      <c r="J111" s="6" t="inlineStr"/>
      <c r="K111" s="7" t="inlineStr"/>
      <c r="L111" s="10" t="inlineStr">
        <is>
          <t>HARD</t>
        </is>
      </c>
      <c r="M111" s="7" t="inlineStr">
        <is>
          <t>inherited from "england bin collection rules 2026": no site at AS&lt;=25 (lowest AS 25, envirowastemanagement at p10); 4 council/gov slots plus BBC and Guardian</t>
        </is>
      </c>
      <c r="N111" s="6" t="inlineStr">
        <is>
          <t>P3</t>
        </is>
      </c>
      <c r="O111" s="7" t="inlineStr">
        <is>
          <t>thefirstmile.co.uk ranks p3</t>
        </is>
      </c>
    </row>
    <row r="112">
      <c r="A112" s="6" t="inlineStr">
        <is>
          <t>UK</t>
        </is>
      </c>
      <c r="B112" s="6" t="inlineStr">
        <is>
          <t>Gap vs competitors</t>
        </is>
      </c>
      <c r="C112" s="6" t="inlineStr">
        <is>
          <t>G - Other streams</t>
        </is>
      </c>
      <c r="D112" s="7" t="inlineStr">
        <is>
          <t>https://betterwaste.co.uk/weee-recycling/</t>
        </is>
      </c>
      <c r="E112" s="6" t="inlineStr">
        <is>
          <t>CREATE</t>
        </is>
      </c>
      <c r="F112" s="6" t="inlineStr">
        <is>
          <t>electronic waste</t>
        </is>
      </c>
      <c r="G112" s="6" t="inlineStr">
        <is>
          <t>Commercial</t>
        </is>
      </c>
      <c r="H112" s="6" t="n">
        <v>1000</v>
      </c>
      <c r="I112" s="6" t="n">
        <v>21</v>
      </c>
      <c r="J112" s="6" t="inlineStr"/>
      <c r="K112" s="7" t="inlineStr"/>
      <c r="L112" s="10" t="inlineStr">
        <is>
          <t>HARD</t>
        </is>
      </c>
      <c r="M112" s="7" t="inlineStr">
        <is>
          <t>inherited from "weee waste": no site at AS&lt;=25 (lowest AS 34, reconomy); gov.uk, legislation.gov.uk, europa.eu and Wikipedia hold the SERP</t>
        </is>
      </c>
      <c r="N112" s="6" t="inlineStr">
        <is>
          <t>P3</t>
        </is>
      </c>
      <c r="O112" s="7" t="inlineStr">
        <is>
          <t>Same SERP family as weee waste</t>
        </is>
      </c>
    </row>
    <row r="113">
      <c r="A113" s="6" t="inlineStr">
        <is>
          <t>UK</t>
        </is>
      </c>
      <c r="B113" s="6" t="inlineStr">
        <is>
          <t>Service</t>
        </is>
      </c>
      <c r="C113" s="6" t="inlineStr">
        <is>
          <t>A - Core commercial</t>
        </is>
      </c>
      <c r="D113" s="7" t="inlineStr">
        <is>
          <t>https://betterwaste.co.uk/commercial-bin-collections/</t>
        </is>
      </c>
      <c r="E113" s="6" t="inlineStr">
        <is>
          <t>OPTIMISE</t>
        </is>
      </c>
      <c r="F113" s="6" t="inlineStr">
        <is>
          <t>commercial waste bins</t>
        </is>
      </c>
      <c r="G113" s="6" t="inlineStr">
        <is>
          <t>Commercial</t>
        </is>
      </c>
      <c r="H113" s="6" t="n">
        <v>880</v>
      </c>
      <c r="I113" s="6" t="n">
        <v>44</v>
      </c>
      <c r="J113" s="6" t="inlineStr"/>
      <c r="K113" s="7" t="inlineStr"/>
      <c r="L113" s="10" t="inlineStr">
        <is>
          <t>HARD</t>
        </is>
      </c>
      <c r="M113" s="7" t="inlineStr">
        <is>
          <t>inherited from "commercial waste collection": no ranking site at AS&lt;=25 (lowest AS 31); 6 council/gov slots</t>
        </is>
      </c>
      <c r="N113" s="6" t="inlineStr">
        <is>
          <t>P2</t>
        </is>
      </c>
      <c r="O113" s="7" t="inlineStr">
        <is>
          <t>Highest KD in cluster</t>
        </is>
      </c>
    </row>
    <row r="114">
      <c r="A114" s="6" t="inlineStr">
        <is>
          <t>UK</t>
        </is>
      </c>
      <c r="B114" s="6" t="inlineStr">
        <is>
          <t>Service</t>
        </is>
      </c>
      <c r="C114" s="6" t="inlineStr">
        <is>
          <t>A - Core commercial</t>
        </is>
      </c>
      <c r="D114" s="7" t="inlineStr">
        <is>
          <t>https://betterwaste.co.uk/commercial-waste-collection/</t>
        </is>
      </c>
      <c r="E114" s="6" t="inlineStr">
        <is>
          <t>OPTIMISE</t>
        </is>
      </c>
      <c r="F114" s="6" t="inlineStr">
        <is>
          <t>commercial recycling</t>
        </is>
      </c>
      <c r="G114" s="6" t="inlineStr">
        <is>
          <t>Commercial</t>
        </is>
      </c>
      <c r="H114" s="6" t="n">
        <v>880</v>
      </c>
      <c r="I114" s="6" t="n">
        <v>41</v>
      </c>
      <c r="J114" s="6" t="inlineStr"/>
      <c r="K114" s="7" t="inlineStr"/>
      <c r="L114" s="10" t="inlineStr">
        <is>
          <t>HARD</t>
        </is>
      </c>
      <c r="M114" s="7" t="inlineStr">
        <is>
          <t>inherited from "commercial waste management": no ranking site at AS&lt;=25 (lowest AS 41); 4 council/gov slots</t>
        </is>
      </c>
      <c r="N114" s="6" t="inlineStr">
        <is>
          <t>P2</t>
        </is>
      </c>
      <c r="O114" s="7" t="inlineStr"/>
    </row>
    <row r="115">
      <c r="A115" s="6" t="inlineStr">
        <is>
          <t>UK</t>
        </is>
      </c>
      <c r="B115" s="6" t="inlineStr">
        <is>
          <t>Service</t>
        </is>
      </c>
      <c r="C115" s="6" t="inlineStr">
        <is>
          <t>A - Core commercial</t>
        </is>
      </c>
      <c r="D115" s="7" t="inlineStr">
        <is>
          <t>https://betterwaste.co.uk/commercial-waste-collection/</t>
        </is>
      </c>
      <c r="E115" s="6" t="inlineStr">
        <is>
          <t>OPTIMISE</t>
        </is>
      </c>
      <c r="F115" s="6" t="inlineStr">
        <is>
          <t>small business waste collection</t>
        </is>
      </c>
      <c r="G115" s="6" t="inlineStr">
        <is>
          <t>Commercial</t>
        </is>
      </c>
      <c r="H115" s="6" t="n">
        <v>720</v>
      </c>
      <c r="I115" s="6" t="n">
        <v>34</v>
      </c>
      <c r="J115" s="6" t="inlineStr"/>
      <c r="K115" s="7" t="inlineStr"/>
      <c r="L115" s="10" t="inlineStr">
        <is>
          <t>HARD</t>
        </is>
      </c>
      <c r="M115" s="7" t="inlineStr">
        <is>
          <t>no ranking site at AS&lt;=25 (lowest AS 39); 4 council/gov slots</t>
        </is>
      </c>
      <c r="N115" s="6" t="inlineStr">
        <is>
          <t>P1</t>
        </is>
      </c>
      <c r="O115" s="7" t="inlineStr">
        <is>
          <t>businesswaste.co.uk ranks p4</t>
        </is>
      </c>
    </row>
    <row r="116">
      <c r="A116" s="6" t="inlineStr">
        <is>
          <t>UK</t>
        </is>
      </c>
      <c r="B116" s="6" t="inlineStr">
        <is>
          <t>Service</t>
        </is>
      </c>
      <c r="C116" s="6" t="inlineStr">
        <is>
          <t>A - Core commercial</t>
        </is>
      </c>
      <c r="D116" s="7" t="inlineStr">
        <is>
          <t>https://betterwaste.co.uk/commercial-bin-collections/</t>
        </is>
      </c>
      <c r="E116" s="6" t="inlineStr">
        <is>
          <t>OPTIMISE</t>
        </is>
      </c>
      <c r="F116" s="6" t="inlineStr">
        <is>
          <t>commercial bin collection</t>
        </is>
      </c>
      <c r="G116" s="6" t="inlineStr">
        <is>
          <t>Commercial</t>
        </is>
      </c>
      <c r="H116" s="6" t="n">
        <v>720</v>
      </c>
      <c r="I116" s="6" t="n">
        <v>33</v>
      </c>
      <c r="J116" s="6" t="inlineStr"/>
      <c r="K116" s="7" t="inlineStr"/>
      <c r="L116" s="10" t="inlineStr">
        <is>
          <t>HARD</t>
        </is>
      </c>
      <c r="M116" s="7" t="inlineStr">
        <is>
          <t>inherited from "commercial waste collection": no ranking site at AS&lt;=25 (lowest AS 31); 6 council/gov slots</t>
        </is>
      </c>
      <c r="N116" s="6" t="inlineStr">
        <is>
          <t>P1</t>
        </is>
      </c>
      <c r="O116" s="7" t="inlineStr">
        <is>
          <t>Highest commercial value in cluster</t>
        </is>
      </c>
    </row>
    <row r="117">
      <c r="A117" s="6" t="inlineStr">
        <is>
          <t>UK</t>
        </is>
      </c>
      <c r="B117" s="6" t="inlineStr">
        <is>
          <t>Service</t>
        </is>
      </c>
      <c r="C117" s="6" t="inlineStr">
        <is>
          <t>A - Core commercial</t>
        </is>
      </c>
      <c r="D117" s="7" t="inlineStr">
        <is>
          <t>https://betterwaste.co.uk/commercial-waste-collection/</t>
        </is>
      </c>
      <c r="E117" s="6" t="inlineStr">
        <is>
          <t>OPTIMISE</t>
        </is>
      </c>
      <c r="F117" s="6" t="inlineStr">
        <is>
          <t>trade waste collection</t>
        </is>
      </c>
      <c r="G117" s="6" t="inlineStr">
        <is>
          <t>Commercial</t>
        </is>
      </c>
      <c r="H117" s="6" t="n">
        <v>480</v>
      </c>
      <c r="I117" s="6" t="n">
        <v>22</v>
      </c>
      <c r="J117" s="6" t="inlineStr"/>
      <c r="K117" s="7" t="inlineStr"/>
      <c r="L117" s="10" t="inlineStr">
        <is>
          <t>HARD</t>
        </is>
      </c>
      <c r="M117" s="7" t="inlineStr">
        <is>
          <t>no ranking site at AS&lt;=25 (lowest AS 46); 6 council/gov slots</t>
        </is>
      </c>
      <c r="N117" s="6" t="inlineStr">
        <is>
          <t>P1</t>
        </is>
      </c>
      <c r="O117" s="7" t="inlineStr">
        <is>
          <t>Lowest KD in cluster</t>
        </is>
      </c>
    </row>
    <row r="118">
      <c r="A118" s="6" t="inlineStr">
        <is>
          <t>UK</t>
        </is>
      </c>
      <c r="B118" s="6" t="inlineStr">
        <is>
          <t>Informational</t>
        </is>
      </c>
      <c r="C118" s="6" t="inlineStr">
        <is>
          <t>D - Compliance</t>
        </is>
      </c>
      <c r="D118" s="7" t="inlineStr">
        <is>
          <t>https://betterwaste.co.uk/extended-producer-responsibility/</t>
        </is>
      </c>
      <c r="E118" s="6" t="inlineStr">
        <is>
          <t>CREATE</t>
        </is>
      </c>
      <c r="F118" s="6" t="inlineStr">
        <is>
          <t>epr packaging</t>
        </is>
      </c>
      <c r="G118" s="6" t="inlineStr">
        <is>
          <t>Informational</t>
        </is>
      </c>
      <c r="H118" s="6" t="n">
        <v>320</v>
      </c>
      <c r="I118" s="6" t="n">
        <v>34</v>
      </c>
      <c r="J118" s="6" t="inlineStr"/>
      <c r="K118" s="7" t="inlineStr"/>
      <c r="L118" s="10" t="inlineStr">
        <is>
          <t>HARD</t>
        </is>
      </c>
      <c r="M118" s="7" t="inlineStr">
        <is>
          <t>inherited from "waste carriers licence": no ranking site at AS&lt;=25 (lowest AS 26); 6 council/gov slots</t>
        </is>
      </c>
      <c r="N118" s="6" t="inlineStr">
        <is>
          <t>P3</t>
        </is>
      </c>
      <c r="O118" s="7" t="inlineStr"/>
    </row>
    <row r="119">
      <c r="A119" s="6" t="inlineStr">
        <is>
          <t>UK</t>
        </is>
      </c>
      <c r="B119" s="6" t="inlineStr">
        <is>
          <t>Informational</t>
        </is>
      </c>
      <c r="C119" s="6" t="inlineStr">
        <is>
          <t>D - Compliance</t>
        </is>
      </c>
      <c r="D119" s="7" t="inlineStr">
        <is>
          <t>https://betterwaste.co.uk/waste-transfer-note/</t>
        </is>
      </c>
      <c r="E119" s="6" t="inlineStr">
        <is>
          <t>CREATE</t>
        </is>
      </c>
      <c r="F119" s="6" t="inlineStr">
        <is>
          <t>duty of care waste transfer note</t>
        </is>
      </c>
      <c r="G119" s="6" t="inlineStr">
        <is>
          <t>Informational</t>
        </is>
      </c>
      <c r="H119" s="6" t="n">
        <v>320</v>
      </c>
      <c r="I119" s="6" t="n">
        <v>20</v>
      </c>
      <c r="J119" s="6" t="inlineStr"/>
      <c r="K119" s="7" t="inlineStr"/>
      <c r="L119" s="10" t="inlineStr">
        <is>
          <t>HARD</t>
        </is>
      </c>
      <c r="M119" s="7" t="inlineStr">
        <is>
          <t>inherited from "waste transfer note": AS 23 at or below Better Waste (AS 20); 4 council/gov slots</t>
        </is>
      </c>
      <c r="N119" s="6" t="inlineStr">
        <is>
          <t>P2</t>
        </is>
      </c>
      <c r="O119" s="7" t="inlineStr"/>
    </row>
    <row r="120">
      <c r="A120" s="6" t="inlineStr">
        <is>
          <t>UK</t>
        </is>
      </c>
      <c r="B120" s="6" t="inlineStr">
        <is>
          <t>Service</t>
        </is>
      </c>
      <c r="C120" s="6" t="inlineStr">
        <is>
          <t>A - Core commercial</t>
        </is>
      </c>
      <c r="D120" s="7" t="inlineStr">
        <is>
          <t>https://betterwaste.co.uk/commercial-bin-collections/</t>
        </is>
      </c>
      <c r="E120" s="6" t="inlineStr">
        <is>
          <t>OPTIMISE</t>
        </is>
      </c>
      <c r="F120" s="6" t="inlineStr">
        <is>
          <t>business bin collection</t>
        </is>
      </c>
      <c r="G120" s="6" t="inlineStr">
        <is>
          <t>Informational</t>
        </is>
      </c>
      <c r="H120" s="6" t="n">
        <v>260</v>
      </c>
      <c r="I120" s="6" t="n">
        <v>31</v>
      </c>
      <c r="J120" s="6" t="n">
        <v>54</v>
      </c>
      <c r="K120" s="7" t="inlineStr">
        <is>
          <t>https://betterwaste.co.uk/areas-we-cover/</t>
        </is>
      </c>
      <c r="L120" s="10" t="inlineStr">
        <is>
          <t>HARD</t>
        </is>
      </c>
      <c r="M120" s="7" t="inlineStr">
        <is>
          <t>inherited from "commercial waste collection": no ranking site at AS&lt;=25 (lowest AS 31); 6 council/gov slots</t>
        </is>
      </c>
      <c r="N120" s="6" t="inlineStr">
        <is>
          <t>P2</t>
        </is>
      </c>
      <c r="O120" s="7" t="inlineStr"/>
    </row>
    <row r="121">
      <c r="A121" s="6" t="inlineStr">
        <is>
          <t>UK</t>
        </is>
      </c>
      <c r="B121" s="6" t="inlineStr">
        <is>
          <t>Service</t>
        </is>
      </c>
      <c r="C121" s="6" t="inlineStr">
        <is>
          <t>A - Core commercial</t>
        </is>
      </c>
      <c r="D121" s="7" t="inlineStr">
        <is>
          <t>https://betterwaste.co.uk/commercial-waste-collection/</t>
        </is>
      </c>
      <c r="E121" s="6" t="inlineStr">
        <is>
          <t>OPTIMISE</t>
        </is>
      </c>
      <c r="F121" s="6" t="inlineStr">
        <is>
          <t>commercial waste services</t>
        </is>
      </c>
      <c r="G121" s="6" t="inlineStr">
        <is>
          <t>Commercial</t>
        </is>
      </c>
      <c r="H121" s="6" t="n">
        <v>260</v>
      </c>
      <c r="I121" s="6" t="n">
        <v>52</v>
      </c>
      <c r="J121" s="6" t="n">
        <v>54</v>
      </c>
      <c r="K121" s="7" t="inlineStr">
        <is>
          <t>https://betterwaste.co.uk/areas-we-cover/</t>
        </is>
      </c>
      <c r="L121" s="10" t="inlineStr">
        <is>
          <t>HARD</t>
        </is>
      </c>
      <c r="M121" s="7" t="inlineStr">
        <is>
          <t>inherited from "commercial waste management": no ranking site at AS&lt;=25 (lowest AS 41); 4 council/gov slots</t>
        </is>
      </c>
      <c r="N121" s="6" t="inlineStr">
        <is>
          <t>P3</t>
        </is>
      </c>
      <c r="O121" s="7" t="inlineStr">
        <is>
          <t>Currently /areas-we-cover/ p54 - wrong page</t>
        </is>
      </c>
    </row>
    <row r="122">
      <c r="A122" s="6" t="inlineStr">
        <is>
          <t>UK</t>
        </is>
      </c>
      <c r="B122" s="6" t="inlineStr">
        <is>
          <t>Waste Type</t>
        </is>
      </c>
      <c r="C122" s="6" t="inlineStr">
        <is>
          <t>B - Missing streams</t>
        </is>
      </c>
      <c r="D122" s="7" t="inlineStr">
        <is>
          <t>https://betterwaste.co.uk/coffee-cup-recycling/</t>
        </is>
      </c>
      <c r="E122" s="6" t="inlineStr">
        <is>
          <t>CREATE</t>
        </is>
      </c>
      <c r="F122" s="6" t="inlineStr">
        <is>
          <t>coffee cup recycling</t>
        </is>
      </c>
      <c r="G122" s="6" t="inlineStr">
        <is>
          <t>Informational</t>
        </is>
      </c>
      <c r="H122" s="6" t="n">
        <v>260</v>
      </c>
      <c r="I122" s="6" t="n">
        <v>16</v>
      </c>
      <c r="J122" s="6" t="inlineStr"/>
      <c r="K122" s="7" t="inlineStr"/>
      <c r="L122" s="10" t="inlineStr">
        <is>
          <t>HARD</t>
        </is>
      </c>
      <c r="M122" s="7" t="inlineStr">
        <is>
          <t>no ranking site at AS&lt;=25 (lowest AS 26); 5 council/gov slots</t>
        </is>
      </c>
      <c r="N122" s="6" t="inlineStr">
        <is>
          <t>P3</t>
        </is>
      </c>
      <c r="O122" s="7" t="inlineStr">
        <is>
          <t>Pairs with existing cafe page</t>
        </is>
      </c>
    </row>
    <row r="123">
      <c r="A123" s="6" t="inlineStr">
        <is>
          <t>UK</t>
        </is>
      </c>
      <c r="B123" s="6" t="inlineStr">
        <is>
          <t>Informational</t>
        </is>
      </c>
      <c r="C123" s="6" t="inlineStr">
        <is>
          <t>D - Compliance</t>
        </is>
      </c>
      <c r="D123" s="7" t="inlineStr">
        <is>
          <t>https://betterwaste.co.uk/waste-transfer-note/</t>
        </is>
      </c>
      <c r="E123" s="6" t="inlineStr">
        <is>
          <t>CREATE</t>
        </is>
      </c>
      <c r="F123" s="6" t="inlineStr">
        <is>
          <t>waste duty of care</t>
        </is>
      </c>
      <c r="G123" s="6" t="inlineStr">
        <is>
          <t>Informational</t>
        </is>
      </c>
      <c r="H123" s="6" t="n">
        <v>170</v>
      </c>
      <c r="I123" s="6" t="n">
        <v>29</v>
      </c>
      <c r="J123" s="6" t="inlineStr"/>
      <c r="K123" s="7" t="inlineStr"/>
      <c r="L123" s="10" t="inlineStr">
        <is>
          <t>HARD</t>
        </is>
      </c>
      <c r="M123" s="7" t="inlineStr">
        <is>
          <t>inherited from "waste transfer note": AS 23 at or below Better Waste (AS 20); 4 council/gov slots</t>
        </is>
      </c>
      <c r="N123" s="6" t="inlineStr">
        <is>
          <t>P3</t>
        </is>
      </c>
      <c r="O123" s="7" t="inlineStr"/>
    </row>
    <row r="124">
      <c r="A124" s="6" t="inlineStr">
        <is>
          <t>UK</t>
        </is>
      </c>
      <c r="B124" s="6" t="inlineStr">
        <is>
          <t>Informational</t>
        </is>
      </c>
      <c r="C124" s="6" t="inlineStr">
        <is>
          <t>D - Compliance</t>
        </is>
      </c>
      <c r="D124" s="7" t="inlineStr">
        <is>
          <t>https://betterwaste.co.uk/simpler-recycling-legislation-for-businesses-in-england-what-you-need-to-know/</t>
        </is>
      </c>
      <c r="E124" s="6" t="inlineStr">
        <is>
          <t>OPTIMISE</t>
        </is>
      </c>
      <c r="F124" s="6" t="inlineStr">
        <is>
          <t>simpler recycling regulations</t>
        </is>
      </c>
      <c r="G124" s="6" t="inlineStr">
        <is>
          <t>Informational</t>
        </is>
      </c>
      <c r="H124" s="6" t="n">
        <v>140</v>
      </c>
      <c r="I124" s="6" t="n">
        <v>22</v>
      </c>
      <c r="J124" s="6" t="inlineStr"/>
      <c r="K124" s="7" t="inlineStr"/>
      <c r="L124" s="10" t="inlineStr">
        <is>
          <t>HARD</t>
        </is>
      </c>
      <c r="M124" s="7" t="inlineStr">
        <is>
          <t>inherited from "simpler recycling": no site at AS&lt;=25 (lowest AS 41); 4 council/gov slots. Top 3 unreachable - but Better Waste is already p14, so p8-10 is a realistic partial win</t>
        </is>
      </c>
      <c r="N124" s="6" t="inlineStr">
        <is>
          <t>P2</t>
        </is>
      </c>
      <c r="O124" s="7" t="inlineStr"/>
    </row>
    <row r="125">
      <c r="A125" s="6" t="inlineStr">
        <is>
          <t>UK</t>
        </is>
      </c>
      <c r="B125" s="6" t="inlineStr">
        <is>
          <t>Waste Type</t>
        </is>
      </c>
      <c r="C125" s="6" t="inlineStr">
        <is>
          <t>B - EXCLUDED</t>
        </is>
      </c>
      <c r="D125" s="7" t="inlineStr">
        <is>
          <t>n/a</t>
        </is>
      </c>
      <c r="E125" s="6" t="inlineStr">
        <is>
          <t>EXCLUDE</t>
        </is>
      </c>
      <c r="F125" s="6" t="inlineStr">
        <is>
          <t>bulky waste collection</t>
        </is>
      </c>
      <c r="G125" s="6" t="inlineStr">
        <is>
          <t>Informational</t>
        </is>
      </c>
      <c r="H125" s="6" t="n">
        <v>9900</v>
      </c>
      <c r="I125" s="6" t="n">
        <v>21</v>
      </c>
      <c r="J125" s="6" t="inlineStr"/>
      <c r="K125" s="7" t="inlineStr"/>
      <c r="L125" s="11" t="inlineStr">
        <is>
          <t>AVOID</t>
        </is>
      </c>
      <c r="M125" s="7" t="inlineStr">
        <is>
          <t>inherited from "clinical waste collection": 6 council/gov slots; intent is household not commercial</t>
        </is>
      </c>
      <c r="N125" s="6" t="inlineStr">
        <is>
          <t>EXCLUDE</t>
        </is>
      </c>
      <c r="O125" s="7" t="inlineStr">
        <is>
          <t>SERP is council pages / residential intent - do not target</t>
        </is>
      </c>
    </row>
    <row r="126">
      <c r="A126" s="6" t="inlineStr">
        <is>
          <t>UK</t>
        </is>
      </c>
      <c r="B126" s="6" t="inlineStr">
        <is>
          <t>Waste Type</t>
        </is>
      </c>
      <c r="C126" s="6" t="inlineStr">
        <is>
          <t>B - Missing streams</t>
        </is>
      </c>
      <c r="D126" s="7" t="inlineStr">
        <is>
          <t>https://betterwaste.co.uk/clinical-waste-disposal-clinical-waste-collection-companies/</t>
        </is>
      </c>
      <c r="E126" s="6" t="inlineStr">
        <is>
          <t>OPTIMISE</t>
        </is>
      </c>
      <c r="F126" s="6" t="inlineStr">
        <is>
          <t>clinical waste disposal</t>
        </is>
      </c>
      <c r="G126" s="6" t="inlineStr">
        <is>
          <t>Informational</t>
        </is>
      </c>
      <c r="H126" s="6" t="n">
        <v>2900</v>
      </c>
      <c r="I126" s="6" t="n">
        <v>22</v>
      </c>
      <c r="J126" s="6" t="inlineStr"/>
      <c r="K126" s="7" t="inlineStr"/>
      <c r="L126" s="11" t="inlineStr">
        <is>
          <t>AVOID</t>
        </is>
      </c>
      <c r="M126" s="7" t="inlineStr">
        <is>
          <t>inherited from "clinical waste collection": 6 council/gov slots; intent is household not commercial</t>
        </is>
      </c>
      <c r="N126" s="6" t="inlineStr">
        <is>
          <t>P1</t>
        </is>
      </c>
      <c r="O126" s="7" t="inlineStr">
        <is>
          <t>businesswaste.co.uk ranks p6</t>
        </is>
      </c>
    </row>
    <row r="127">
      <c r="A127" s="6" t="inlineStr">
        <is>
          <t>UK</t>
        </is>
      </c>
      <c r="B127" s="6" t="inlineStr">
        <is>
          <t>Waste Type</t>
        </is>
      </c>
      <c r="C127" s="6" t="inlineStr">
        <is>
          <t>B - Missing streams</t>
        </is>
      </c>
      <c r="D127" s="7" t="inlineStr">
        <is>
          <t>https://betterwaste.co.uk/weee-recycling/</t>
        </is>
      </c>
      <c r="E127" s="6" t="inlineStr">
        <is>
          <t>CREATE</t>
        </is>
      </c>
      <c r="F127" s="6" t="inlineStr">
        <is>
          <t>weee recycling</t>
        </is>
      </c>
      <c r="G127" s="6" t="inlineStr">
        <is>
          <t>Navigational</t>
        </is>
      </c>
      <c r="H127" s="6" t="n">
        <v>2400</v>
      </c>
      <c r="I127" s="6" t="n">
        <v>41</v>
      </c>
      <c r="J127" s="6" t="inlineStr"/>
      <c r="K127" s="7" t="inlineStr"/>
      <c r="L127" s="11" t="inlineStr">
        <is>
          <t>AVOID</t>
        </is>
      </c>
      <c r="M127" s="7" t="inlineStr">
        <is>
          <t>no site at AS&lt;=25 (lowest AS 29); 3 council/gov slots plus the recycleyourelectricals.org.uk consumer scheme at #1 and Amazon at #6 - household electricals intent</t>
        </is>
      </c>
      <c r="N127" s="6" t="inlineStr">
        <is>
          <t>P2</t>
        </is>
      </c>
      <c r="O127" s="7" t="inlineStr"/>
    </row>
    <row r="128">
      <c r="A128" s="6" t="inlineStr">
        <is>
          <t>UK</t>
        </is>
      </c>
      <c r="B128" s="6" t="inlineStr">
        <is>
          <t>Waste Type</t>
        </is>
      </c>
      <c r="C128" s="6" t="inlineStr">
        <is>
          <t>B - Missing streams</t>
        </is>
      </c>
      <c r="D128" s="7" t="inlineStr">
        <is>
          <t>https://betterwaste.co.uk/clinical-waste-disposal-clinical-waste-collection-companies/</t>
        </is>
      </c>
      <c r="E128" s="6" t="inlineStr">
        <is>
          <t>OPTIMISE</t>
        </is>
      </c>
      <c r="F128" s="6" t="inlineStr">
        <is>
          <t>clinical waste collection</t>
        </is>
      </c>
      <c r="G128" s="6" t="inlineStr">
        <is>
          <t>Informational</t>
        </is>
      </c>
      <c r="H128" s="6" t="n">
        <v>1900</v>
      </c>
      <c r="I128" s="6" t="n">
        <v>22</v>
      </c>
      <c r="J128" s="6" t="inlineStr"/>
      <c r="K128" s="7" t="inlineStr"/>
      <c r="L128" s="11" t="inlineStr">
        <is>
          <t>AVOID</t>
        </is>
      </c>
      <c r="M128" s="7" t="inlineStr">
        <is>
          <t>6 council/gov slots; intent is household not commercial</t>
        </is>
      </c>
      <c r="N128" s="6" t="inlineStr">
        <is>
          <t>P1</t>
        </is>
      </c>
      <c r="O128" s="7" t="inlineStr">
        <is>
          <t>No page exists. Pairs with clinical waste disposal</t>
        </is>
      </c>
    </row>
    <row r="129">
      <c r="A129" s="6" t="inlineStr">
        <is>
          <t>UK</t>
        </is>
      </c>
      <c r="B129" s="6" t="inlineStr">
        <is>
          <t>Waste Type</t>
        </is>
      </c>
      <c r="C129" s="6" t="inlineStr">
        <is>
          <t>B - Missing streams</t>
        </is>
      </c>
      <c r="D129" s="7" t="inlineStr">
        <is>
          <t>https://betterwaste.co.uk/hazardous-waste/</t>
        </is>
      </c>
      <c r="E129" s="6" t="inlineStr">
        <is>
          <t>CREATE</t>
        </is>
      </c>
      <c r="F129" s="6" t="inlineStr">
        <is>
          <t>hazardous waste disposal</t>
        </is>
      </c>
      <c r="G129" s="6" t="inlineStr">
        <is>
          <t>Commercial</t>
        </is>
      </c>
      <c r="H129" s="6" t="n">
        <v>1900</v>
      </c>
      <c r="I129" s="6" t="n">
        <v>35</v>
      </c>
      <c r="J129" s="6" t="inlineStr"/>
      <c r="K129" s="7" t="inlineStr"/>
      <c r="L129" s="11" t="inlineStr">
        <is>
          <t>AVOID</t>
        </is>
      </c>
      <c r="M129" s="7" t="inlineStr">
        <is>
          <t>inherited from "hazardous waste collection": 6 council/gov slots; intent is household not commercial</t>
        </is>
      </c>
      <c r="N129" s="6" t="inlineStr">
        <is>
          <t>P2</t>
        </is>
      </c>
      <c r="O129" s="7" t="inlineStr"/>
    </row>
    <row r="130">
      <c r="A130" s="6" t="inlineStr">
        <is>
          <t>UK</t>
        </is>
      </c>
      <c r="B130" s="6" t="inlineStr">
        <is>
          <t>Informational</t>
        </is>
      </c>
      <c r="C130" s="6" t="inlineStr">
        <is>
          <t>C - Bin specs</t>
        </is>
      </c>
      <c r="D130" s="7" t="inlineStr">
        <is>
          <t>https://betterwaste.co.uk/binpedia/</t>
        </is>
      </c>
      <c r="E130" s="6" t="inlineStr">
        <is>
          <t>OPTIMISE</t>
        </is>
      </c>
      <c r="F130" s="6" t="inlineStr">
        <is>
          <t>waste container</t>
        </is>
      </c>
      <c r="G130" s="6" t="inlineStr">
        <is>
          <t>Informational</t>
        </is>
      </c>
      <c r="H130" s="6" t="n">
        <v>1900</v>
      </c>
      <c r="I130" s="6" t="n">
        <v>12</v>
      </c>
      <c r="J130" s="6" t="n">
        <v>39</v>
      </c>
      <c r="K130" s="7" t="inlineStr">
        <is>
          <t>https://betterwaste.co.uk/binpedia/</t>
        </is>
      </c>
      <c r="L130" s="11" t="inlineStr">
        <is>
          <t>AVOID</t>
        </is>
      </c>
      <c r="M130" s="7" t="inlineStr">
        <is>
          <t>inherited from "1100 litre bin": 0 council/gov slots; intent is household not commercial</t>
        </is>
      </c>
      <c r="N130" s="6" t="inlineStr">
        <is>
          <t>P1</t>
        </is>
      </c>
      <c r="O130" s="7" t="inlineStr">
        <is>
          <t>Currently p39 - already ranking | Do NOT target on this page - retail SERP. The abbreviated form on the same page is the winnable one.</t>
        </is>
      </c>
    </row>
    <row r="131">
      <c r="A131" s="6" t="inlineStr">
        <is>
          <t>UK</t>
        </is>
      </c>
      <c r="B131" s="6" t="inlineStr">
        <is>
          <t>Waste Type</t>
        </is>
      </c>
      <c r="C131" s="6" t="inlineStr">
        <is>
          <t>B - Missing streams</t>
        </is>
      </c>
      <c r="D131" s="7" t="inlineStr">
        <is>
          <t>https://betterwaste.co.uk/clinical-waste-disposal-clinical-waste-collection-companies/</t>
        </is>
      </c>
      <c r="E131" s="6" t="inlineStr">
        <is>
          <t>OPTIMISE</t>
        </is>
      </c>
      <c r="F131" s="6" t="inlineStr">
        <is>
          <t>clinical waste</t>
        </is>
      </c>
      <c r="G131" s="6" t="inlineStr">
        <is>
          <t>Informational</t>
        </is>
      </c>
      <c r="H131" s="6" t="n">
        <v>1600</v>
      </c>
      <c r="I131" s="6" t="n">
        <v>30</v>
      </c>
      <c r="J131" s="6" t="inlineStr"/>
      <c r="K131" s="7" t="inlineStr"/>
      <c r="L131" s="11" t="inlineStr">
        <is>
          <t>AVOID</t>
        </is>
      </c>
      <c r="M131" s="7" t="inlineStr">
        <is>
          <t>inherited from "clinical waste collection": 6 council/gov slots; intent is household not commercial</t>
        </is>
      </c>
      <c r="N131" s="6" t="inlineStr">
        <is>
          <t>P1</t>
        </is>
      </c>
      <c r="O131" s="7" t="inlineStr"/>
    </row>
    <row r="132">
      <c r="A132" s="6" t="inlineStr">
        <is>
          <t>UK</t>
        </is>
      </c>
      <c r="B132" s="6" t="inlineStr">
        <is>
          <t>Waste Type</t>
        </is>
      </c>
      <c r="C132" s="6" t="inlineStr">
        <is>
          <t>B - Missing streams</t>
        </is>
      </c>
      <c r="D132" s="7" t="inlineStr">
        <is>
          <t>https://betterwaste.co.uk/hazardous-waste/</t>
        </is>
      </c>
      <c r="E132" s="6" t="inlineStr">
        <is>
          <t>CREATE</t>
        </is>
      </c>
      <c r="F132" s="6" t="inlineStr">
        <is>
          <t>hazardous waste collection</t>
        </is>
      </c>
      <c r="G132" s="6" t="inlineStr">
        <is>
          <t>Commercial</t>
        </is>
      </c>
      <c r="H132" s="6" t="n">
        <v>1300</v>
      </c>
      <c r="I132" s="6" t="n">
        <v>23</v>
      </c>
      <c r="J132" s="6" t="inlineStr"/>
      <c r="K132" s="7" t="inlineStr"/>
      <c r="L132" s="11" t="inlineStr">
        <is>
          <t>AVOID</t>
        </is>
      </c>
      <c r="M132" s="7" t="inlineStr">
        <is>
          <t>6 council/gov slots; intent is household not commercial</t>
        </is>
      </c>
      <c r="N132" s="6" t="inlineStr">
        <is>
          <t>P2</t>
        </is>
      </c>
      <c r="O132" s="7" t="inlineStr"/>
    </row>
    <row r="133">
      <c r="A133" s="6" t="inlineStr">
        <is>
          <t>UK</t>
        </is>
      </c>
      <c r="B133" s="6" t="inlineStr">
        <is>
          <t>Waste Type</t>
        </is>
      </c>
      <c r="C133" s="6" t="inlineStr">
        <is>
          <t>B - EXCLUDED</t>
        </is>
      </c>
      <c r="D133" s="7" t="inlineStr">
        <is>
          <t>n/a</t>
        </is>
      </c>
      <c r="E133" s="6" t="inlineStr">
        <is>
          <t>EXCLUDE</t>
        </is>
      </c>
      <c r="F133" s="6" t="inlineStr">
        <is>
          <t>green waste collection</t>
        </is>
      </c>
      <c r="G133" s="6" t="inlineStr">
        <is>
          <t>Informational</t>
        </is>
      </c>
      <c r="H133" s="6" t="n">
        <v>1300</v>
      </c>
      <c r="I133" s="6" t="n">
        <v>30</v>
      </c>
      <c r="J133" s="6" t="inlineStr"/>
      <c r="K133" s="7" t="inlineStr"/>
      <c r="L133" s="11" t="inlineStr">
        <is>
          <t>AVOID</t>
        </is>
      </c>
      <c r="M133" s="7" t="inlineStr">
        <is>
          <t>inherited from "clinical waste collection": 6 council/gov slots; intent is household not commercial</t>
        </is>
      </c>
      <c r="N133" s="6" t="inlineStr">
        <is>
          <t>EXCLUDE</t>
        </is>
      </c>
      <c r="O133" s="7" t="inlineStr">
        <is>
          <t>Residential/council intent. Use commercial garden waste instead</t>
        </is>
      </c>
    </row>
    <row r="134">
      <c r="A134" s="6" t="inlineStr">
        <is>
          <t>UK</t>
        </is>
      </c>
      <c r="B134" s="6" t="inlineStr">
        <is>
          <t>Gap vs competitors</t>
        </is>
      </c>
      <c r="C134" s="6" t="inlineStr">
        <is>
          <t>G - Other streams</t>
        </is>
      </c>
      <c r="D134" s="7" t="inlineStr">
        <is>
          <t>https://betterwaste.co.uk/clinical-waste-disposal-clinical-waste-collection-companies/</t>
        </is>
      </c>
      <c r="E134" s="6" t="inlineStr">
        <is>
          <t>OPTIMISE</t>
        </is>
      </c>
      <c r="F134" s="6" t="inlineStr">
        <is>
          <t>medical waste collection</t>
        </is>
      </c>
      <c r="G134" s="6" t="inlineStr">
        <is>
          <t>Commercial</t>
        </is>
      </c>
      <c r="H134" s="6" t="n">
        <v>880</v>
      </c>
      <c r="I134" s="6" t="n">
        <v>23</v>
      </c>
      <c r="J134" s="6" t="inlineStr"/>
      <c r="K134" s="7" t="inlineStr"/>
      <c r="L134" s="11" t="inlineStr">
        <is>
          <t>AVOID</t>
        </is>
      </c>
      <c r="M134" s="7" t="inlineStr">
        <is>
          <t>7 council/gov slots (Birmingham, gov.uk, Havering, West Oxon, Newark &amp; Sherwood, Walsall, Uttlesford) - household sharps/medical collection intent</t>
        </is>
      </c>
      <c r="N134" s="6" t="inlineStr">
        <is>
          <t>P3</t>
        </is>
      </c>
      <c r="O134" s="7" t="inlineStr">
        <is>
          <t>Checked - council-dominated, household intent</t>
        </is>
      </c>
    </row>
    <row r="135">
      <c r="A135" s="6" t="inlineStr">
        <is>
          <t>UK</t>
        </is>
      </c>
      <c r="B135" s="6" t="inlineStr">
        <is>
          <t>Informational</t>
        </is>
      </c>
      <c r="C135" s="6" t="inlineStr">
        <is>
          <t>C - Bin specs</t>
        </is>
      </c>
      <c r="D135" s="7" t="inlineStr">
        <is>
          <t>https://betterwaste.co.uk/bins/1100l-bin/</t>
        </is>
      </c>
      <c r="E135" s="6" t="inlineStr">
        <is>
          <t>OPTIMISE</t>
        </is>
      </c>
      <c r="F135" s="6" t="inlineStr">
        <is>
          <t>1100 litre bin</t>
        </is>
      </c>
      <c r="G135" s="6" t="inlineStr">
        <is>
          <t>Informational</t>
        </is>
      </c>
      <c r="H135" s="6" t="n">
        <v>720</v>
      </c>
      <c r="I135" s="6" t="n">
        <v>8</v>
      </c>
      <c r="J135" s="6" t="inlineStr"/>
      <c r="K135" s="7" t="inlineStr"/>
      <c r="L135" s="11" t="inlineStr">
        <is>
          <t>AVOID</t>
        </is>
      </c>
      <c r="M135" s="7" t="inlineStr">
        <is>
          <t>0 council/gov slots; intent is household not commercial</t>
        </is>
      </c>
      <c r="N135" s="6" t="inlineStr">
        <is>
          <t>P1</t>
        </is>
      </c>
      <c r="O135" s="7" t="inlineStr">
        <is>
          <t>/binpedia/ already p39 for waste container | Do NOT target on this page - retail SERP. The abbreviated form on the same page is the winnable one.</t>
        </is>
      </c>
    </row>
    <row r="136">
      <c r="A136" s="6" t="inlineStr">
        <is>
          <t>UK</t>
        </is>
      </c>
      <c r="B136" s="6" t="inlineStr">
        <is>
          <t>Informational</t>
        </is>
      </c>
      <c r="C136" s="6" t="inlineStr">
        <is>
          <t>C - Bin specs</t>
        </is>
      </c>
      <c r="D136" s="7" t="inlineStr">
        <is>
          <t>https://betterwaste.co.uk/bins/660l-bin/</t>
        </is>
      </c>
      <c r="E136" s="6" t="inlineStr">
        <is>
          <t>OPTIMISE</t>
        </is>
      </c>
      <c r="F136" s="6" t="inlineStr">
        <is>
          <t>660 litre bin</t>
        </is>
      </c>
      <c r="G136" s="6" t="inlineStr">
        <is>
          <t>Informational</t>
        </is>
      </c>
      <c r="H136" s="6" t="n">
        <v>720</v>
      </c>
      <c r="I136" s="6" t="n">
        <v>8</v>
      </c>
      <c r="J136" s="6" t="inlineStr"/>
      <c r="K136" s="7" t="inlineStr"/>
      <c r="L136" s="11" t="inlineStr">
        <is>
          <t>AVOID</t>
        </is>
      </c>
      <c r="M136" s="7" t="inlineStr">
        <is>
          <t>inherited from "1100 litre bin": 0 council/gov slots; intent is household not commercial</t>
        </is>
      </c>
      <c r="N136" s="6" t="inlineStr">
        <is>
          <t>P1</t>
        </is>
      </c>
      <c r="O136" s="7" t="inlineStr">
        <is>
          <t>Do NOT target on this page - retail SERP. The abbreviated form on the same page is the winnable one.</t>
        </is>
      </c>
    </row>
    <row r="137">
      <c r="A137" s="6" t="inlineStr">
        <is>
          <t>UK</t>
        </is>
      </c>
      <c r="B137" s="6" t="inlineStr">
        <is>
          <t>Waste Type</t>
        </is>
      </c>
      <c r="C137" s="6" t="inlineStr">
        <is>
          <t>B - Missing streams</t>
        </is>
      </c>
      <c r="D137" s="7" t="inlineStr">
        <is>
          <t>https://betterwaste.co.uk/weee-recycling/</t>
        </is>
      </c>
      <c r="E137" s="6" t="inlineStr">
        <is>
          <t>CREATE</t>
        </is>
      </c>
      <c r="F137" s="6" t="inlineStr">
        <is>
          <t>electrical waste disposal</t>
        </is>
      </c>
      <c r="G137" s="6" t="inlineStr">
        <is>
          <t>Commercial</t>
        </is>
      </c>
      <c r="H137" s="6" t="n">
        <v>590</v>
      </c>
      <c r="I137" s="6" t="n">
        <v>24</v>
      </c>
      <c r="J137" s="6" t="inlineStr"/>
      <c r="K137" s="7" t="inlineStr"/>
      <c r="L137" s="11" t="inlineStr">
        <is>
          <t>AVOID</t>
        </is>
      </c>
      <c r="M137" s="7" t="inlineStr">
        <is>
          <t>6 council/gov and national-scheme slots (recycleyourelectricals AS 49 at #1, recyclenow AS 54, Nottingham/Islington/Oxford councils) - household intent</t>
        </is>
      </c>
      <c r="N137" s="6" t="inlineStr">
        <is>
          <t>P2</t>
        </is>
      </c>
      <c r="O137" s="7" t="inlineStr"/>
    </row>
    <row r="138">
      <c r="A138" s="6" t="inlineStr">
        <is>
          <t>UK</t>
        </is>
      </c>
      <c r="B138" s="6" t="inlineStr">
        <is>
          <t>Informational</t>
        </is>
      </c>
      <c r="C138" s="6" t="inlineStr">
        <is>
          <t>C - Bin specs</t>
        </is>
      </c>
      <c r="D138" s="7" t="inlineStr">
        <is>
          <t>https://betterwaste.co.uk/bins/240l-bin/</t>
        </is>
      </c>
      <c r="E138" s="6" t="inlineStr">
        <is>
          <t>OPTIMISE</t>
        </is>
      </c>
      <c r="F138" s="6" t="inlineStr">
        <is>
          <t>240 litre bin</t>
        </is>
      </c>
      <c r="G138" s="6" t="inlineStr">
        <is>
          <t>Informational + Commercial</t>
        </is>
      </c>
      <c r="H138" s="6" t="n">
        <v>590</v>
      </c>
      <c r="I138" s="6" t="n">
        <v>11</v>
      </c>
      <c r="J138" s="6" t="inlineStr"/>
      <c r="K138" s="7" t="inlineStr"/>
      <c r="L138" s="11" t="inlineStr">
        <is>
          <t>AVOID</t>
        </is>
      </c>
      <c r="M138" s="7" t="inlineStr">
        <is>
          <t>inherited from "1100 litre bin": 0 council/gov slots; intent is household not commercial</t>
        </is>
      </c>
      <c r="N138" s="6" t="inlineStr">
        <is>
          <t>P1</t>
        </is>
      </c>
      <c r="O138" s="7" t="inlineStr">
        <is>
          <t>Do NOT target on this page - retail SERP. The abbreviated form on the same page is the winnable one.</t>
        </is>
      </c>
    </row>
    <row r="139">
      <c r="A139" s="6" t="inlineStr">
        <is>
          <t>UK</t>
        </is>
      </c>
      <c r="B139" s="6" t="inlineStr">
        <is>
          <t>Gap vs competitors</t>
        </is>
      </c>
      <c r="C139" s="6" t="inlineStr">
        <is>
          <t>G - Other streams</t>
        </is>
      </c>
      <c r="D139" s="7" t="inlineStr">
        <is>
          <t>https://betterwaste.co.uk/clinical-waste-disposal-clinical-waste-collection-companies/</t>
        </is>
      </c>
      <c r="E139" s="6" t="inlineStr">
        <is>
          <t>OPTIMISE</t>
        </is>
      </c>
      <c r="F139" s="6" t="inlineStr">
        <is>
          <t>clinical waste removal</t>
        </is>
      </c>
      <c r="G139" s="6" t="inlineStr">
        <is>
          <t>Informational</t>
        </is>
      </c>
      <c r="H139" s="6" t="n">
        <v>590</v>
      </c>
      <c r="I139" s="6" t="n">
        <v>33</v>
      </c>
      <c r="J139" s="6" t="inlineStr"/>
      <c r="K139" s="7" t="inlineStr"/>
      <c r="L139" s="11" t="inlineStr">
        <is>
          <t>AVOID</t>
        </is>
      </c>
      <c r="M139" s="7" t="inlineStr">
        <is>
          <t>inherited from "clinical waste collection": 6 council/gov slots; intent is household not commercial</t>
        </is>
      </c>
      <c r="N139" s="6" t="inlineStr">
        <is>
          <t>P3</t>
        </is>
      </c>
      <c r="O139" s="7" t="inlineStr">
        <is>
          <t>Same household cluster</t>
        </is>
      </c>
    </row>
    <row r="140">
      <c r="A140" s="6" t="inlineStr">
        <is>
          <t>UK</t>
        </is>
      </c>
      <c r="B140" s="6" t="inlineStr">
        <is>
          <t>Informational</t>
        </is>
      </c>
      <c r="C140" s="6" t="inlineStr">
        <is>
          <t>C - Bin specs</t>
        </is>
      </c>
      <c r="D140" s="7" t="inlineStr">
        <is>
          <t>https://betterwaste.co.uk/bins/1100l-bin/</t>
        </is>
      </c>
      <c r="E140" s="6" t="inlineStr">
        <is>
          <t>OPTIMISE</t>
        </is>
      </c>
      <c r="F140" s="6" t="inlineStr">
        <is>
          <t>commercial wheelie bin</t>
        </is>
      </c>
      <c r="G140" s="6" t="inlineStr">
        <is>
          <t>Commercial</t>
        </is>
      </c>
      <c r="H140" s="6" t="n">
        <v>320</v>
      </c>
      <c r="I140" s="6" t="n">
        <v>8</v>
      </c>
      <c r="J140" s="6" t="inlineStr"/>
      <c r="K140" s="7" t="inlineStr"/>
      <c r="L140" s="11" t="inlineStr">
        <is>
          <t>AVOID</t>
        </is>
      </c>
      <c r="M140" s="7" t="inlineStr">
        <is>
          <t>inherited from "1100 litre bin": 0 council/gov slots; intent is household not commercial</t>
        </is>
      </c>
      <c r="N140" s="6" t="inlineStr">
        <is>
          <t>P1</t>
        </is>
      </c>
      <c r="O140" s="7" t="inlineStr">
        <is>
          <t>Do NOT target on this page - retail SERP. The abbreviated form on the same page is the winnable one.</t>
        </is>
      </c>
    </row>
    <row r="141">
      <c r="A141" s="6" t="inlineStr">
        <is>
          <t>UK</t>
        </is>
      </c>
      <c r="B141" s="6" t="inlineStr">
        <is>
          <t>Informational</t>
        </is>
      </c>
      <c r="C141" s="6" t="inlineStr">
        <is>
          <t>C - Bin specs</t>
        </is>
      </c>
      <c r="D141" s="7" t="inlineStr">
        <is>
          <t>https://betterwaste.co.uk/bins/1100l-bin/</t>
        </is>
      </c>
      <c r="E141" s="6" t="inlineStr">
        <is>
          <t>OPTIMISE</t>
        </is>
      </c>
      <c r="F141" s="6" t="inlineStr">
        <is>
          <t>wheelie bin hire</t>
        </is>
      </c>
      <c r="G141" s="6" t="inlineStr">
        <is>
          <t>Commercial</t>
        </is>
      </c>
      <c r="H141" s="6" t="n">
        <v>320</v>
      </c>
      <c r="I141" s="6" t="n">
        <v>11</v>
      </c>
      <c r="J141" s="6" t="inlineStr"/>
      <c r="K141" s="7" t="inlineStr"/>
      <c r="L141" s="11" t="inlineStr">
        <is>
          <t>AVOID</t>
        </is>
      </c>
      <c r="M141" s="7" t="inlineStr">
        <is>
          <t>inherited from "1100 litre bin": 0 council/gov slots; intent is household not commercial</t>
        </is>
      </c>
      <c r="N141" s="6" t="inlineStr">
        <is>
          <t>P2</t>
        </is>
      </c>
      <c r="O141" s="7" t="inlineStr">
        <is>
          <t>Do NOT target on this page - retail SERP. The abbreviated form on the same page is the winnable one.</t>
        </is>
      </c>
    </row>
    <row r="142">
      <c r="A142" s="6" t="inlineStr">
        <is>
          <t>UK</t>
        </is>
      </c>
      <c r="B142" s="6" t="inlineStr">
        <is>
          <t>Informational</t>
        </is>
      </c>
      <c r="C142" s="6" t="inlineStr">
        <is>
          <t>C - Bin specs</t>
        </is>
      </c>
      <c r="D142" s="7" t="inlineStr">
        <is>
          <t>https://betterwaste.co.uk/bins/fel-container/</t>
        </is>
      </c>
      <c r="E142" s="6" t="inlineStr">
        <is>
          <t>OPTIMISE</t>
        </is>
      </c>
      <c r="F142" s="6" t="inlineStr">
        <is>
          <t>eurobin</t>
        </is>
      </c>
      <c r="G142" s="6" t="inlineStr">
        <is>
          <t>Informational</t>
        </is>
      </c>
      <c r="H142" s="6" t="n">
        <v>260</v>
      </c>
      <c r="I142" s="6" t="n">
        <v>9</v>
      </c>
      <c r="J142" s="6" t="inlineStr"/>
      <c r="K142" s="7" t="inlineStr"/>
      <c r="L142" s="11" t="inlineStr">
        <is>
          <t>AVOID</t>
        </is>
      </c>
      <c r="M142" s="7" t="inlineStr">
        <is>
          <t>inherited from "1100 litre bin": 0 council/gov slots; intent is household not commercial</t>
        </is>
      </c>
      <c r="N142" s="6" t="inlineStr">
        <is>
          <t>P2</t>
        </is>
      </c>
      <c r="O142" s="7" t="inlineStr"/>
    </row>
    <row r="143">
      <c r="A143" s="6" t="inlineStr">
        <is>
          <t>UK</t>
        </is>
      </c>
      <c r="B143" s="6" t="inlineStr">
        <is>
          <t>Informational</t>
        </is>
      </c>
      <c r="C143" s="6" t="inlineStr">
        <is>
          <t>C - Bin specs</t>
        </is>
      </c>
      <c r="D143" s="7" t="inlineStr">
        <is>
          <t>https://betterwaste.co.uk/bins/1100l-bin/</t>
        </is>
      </c>
      <c r="E143" s="6" t="inlineStr">
        <is>
          <t>OPTIMISE</t>
        </is>
      </c>
      <c r="F143" s="6" t="inlineStr">
        <is>
          <t>1100 litre bin dimensions</t>
        </is>
      </c>
      <c r="G143" s="6" t="inlineStr">
        <is>
          <t>Informational</t>
        </is>
      </c>
      <c r="H143" s="6" t="n">
        <v>90</v>
      </c>
      <c r="I143" s="6" t="n">
        <v>6</v>
      </c>
      <c r="J143" s="6" t="inlineStr"/>
      <c r="K143" s="7" t="inlineStr"/>
      <c r="L143" s="11" t="inlineStr">
        <is>
          <t>AVOID</t>
        </is>
      </c>
      <c r="M143" s="7" t="inlineStr">
        <is>
          <t>inherited from "1100 litre bin": 0 council/gov slots; intent is household not commercial</t>
        </is>
      </c>
      <c r="N143" s="6" t="inlineStr">
        <is>
          <t>P2</t>
        </is>
      </c>
      <c r="O143" s="7" t="inlineStr">
        <is>
          <t>Do NOT target on this page - retail SERP. The abbreviated form on the same page is the winnable one.</t>
        </is>
      </c>
    </row>
  </sheetData>
  <autoFilter ref="A1:O14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4" customWidth="1" min="2" max="2"/>
    <col width="13" customWidth="1" min="3" max="3"/>
    <col width="16" customWidth="1" min="4" max="4"/>
    <col width="11" customWidth="1" min="5" max="5"/>
    <col width="11" customWidth="1" min="6" max="6"/>
    <col width="15" customWidth="1" min="7" max="7"/>
    <col width="13" customWidth="1" min="8" max="8"/>
  </cols>
  <sheetData>
    <row r="1" ht="30" customHeight="1">
      <c r="A1" s="5" t="inlineStr">
        <is>
          <t>Page</t>
        </is>
      </c>
      <c r="B1" s="5" t="inlineStr">
        <is>
          <t>Type</t>
        </is>
      </c>
      <c r="C1" s="5" t="inlineStr">
        <is>
          <t>Page Status</t>
        </is>
      </c>
      <c r="D1" s="5" t="inlineStr">
        <is>
          <t>Page Difficulty</t>
        </is>
      </c>
      <c r="E1" s="5" t="inlineStr">
        <is>
          <t>Keywords</t>
        </is>
      </c>
      <c r="F1" s="5" t="inlineStr">
        <is>
          <t>Total SV</t>
        </is>
      </c>
      <c r="G1" s="5" t="inlineStr">
        <is>
          <t>Already Ranking</t>
        </is>
      </c>
      <c r="H1" s="5" t="inlineStr">
        <is>
          <t>Best Position (snapshot)</t>
        </is>
      </c>
    </row>
    <row r="2">
      <c r="A2" s="7" t="inlineStr">
        <is>
          <t>https://betterwaste.co.uk/areas-we-cover/bristol/</t>
        </is>
      </c>
      <c r="B2" s="12" t="inlineStr">
        <is>
          <t>Location</t>
        </is>
      </c>
      <c r="C2" s="12" t="inlineStr">
        <is>
          <t>OPTIMISE</t>
        </is>
      </c>
      <c r="D2" s="13" t="inlineStr">
        <is>
          <t>EASY</t>
        </is>
      </c>
      <c r="E2" s="12">
        <f>COUNTIF('Opportunities'!$D$2:$D$143,$A2)</f>
        <v/>
      </c>
      <c r="F2" s="12">
        <f>SUMIF('Opportunities'!$D$2:$D$143,$A2,'Opportunities'!$H$2:$H$143)</f>
        <v/>
      </c>
      <c r="G2" s="12">
        <f>COUNTIFS('Opportunities'!$D$2:$D$143,$A2,'Opportunities'!$J$2:$J$143,"&gt;0")</f>
        <v/>
      </c>
      <c r="H2" s="12" t="inlineStr">
        <is>
          <t>-</t>
        </is>
      </c>
    </row>
    <row r="3">
      <c r="A3" s="7" t="inlineStr">
        <is>
          <t>https://betterwaste.co.uk/areas-we-cover/glasgow/</t>
        </is>
      </c>
      <c r="B3" s="12" t="inlineStr">
        <is>
          <t>Location</t>
        </is>
      </c>
      <c r="C3" s="12" t="inlineStr">
        <is>
          <t>CREATE</t>
        </is>
      </c>
      <c r="D3" s="13" t="inlineStr">
        <is>
          <t>EASY</t>
        </is>
      </c>
      <c r="E3" s="12">
        <f>COUNTIF('Opportunities'!$D$2:$D$143,$A3)</f>
        <v/>
      </c>
      <c r="F3" s="12">
        <f>SUMIF('Opportunities'!$D$2:$D$143,$A3,'Opportunities'!$H$2:$H$143)</f>
        <v/>
      </c>
      <c r="G3" s="12">
        <f>COUNTIFS('Opportunities'!$D$2:$D$143,$A3,'Opportunities'!$J$2:$J$143,"&gt;0")</f>
        <v/>
      </c>
      <c r="H3" s="12" t="inlineStr">
        <is>
          <t>-</t>
        </is>
      </c>
    </row>
    <row r="4">
      <c r="A4" s="7" t="inlineStr">
        <is>
          <t>https://betterwaste.co.uk/areas-we-cover/leeds/</t>
        </is>
      </c>
      <c r="B4" s="12" t="inlineStr">
        <is>
          <t>Location</t>
        </is>
      </c>
      <c r="C4" s="12" t="inlineStr">
        <is>
          <t>OPTIMISE</t>
        </is>
      </c>
      <c r="D4" s="13" t="inlineStr">
        <is>
          <t>EASY</t>
        </is>
      </c>
      <c r="E4" s="12">
        <f>COUNTIF('Opportunities'!$D$2:$D$143,$A4)</f>
        <v/>
      </c>
      <c r="F4" s="12">
        <f>SUMIF('Opportunities'!$D$2:$D$143,$A4,'Opportunities'!$H$2:$H$143)</f>
        <v/>
      </c>
      <c r="G4" s="12">
        <f>COUNTIFS('Opportunities'!$D$2:$D$143,$A4,'Opportunities'!$J$2:$J$143,"&gt;0")</f>
        <v/>
      </c>
      <c r="H4" s="12" t="inlineStr">
        <is>
          <t>-</t>
        </is>
      </c>
    </row>
    <row r="5">
      <c r="A5" s="7" t="inlineStr">
        <is>
          <t>https://betterwaste.co.uk/areas-we-cover/leicester/</t>
        </is>
      </c>
      <c r="B5" s="12" t="inlineStr">
        <is>
          <t>Location</t>
        </is>
      </c>
      <c r="C5" s="12" t="inlineStr">
        <is>
          <t>OPTIMISE</t>
        </is>
      </c>
      <c r="D5" s="13" t="inlineStr">
        <is>
          <t>EASY</t>
        </is>
      </c>
      <c r="E5" s="12">
        <f>COUNTIF('Opportunities'!$D$2:$D$143,$A5)</f>
        <v/>
      </c>
      <c r="F5" s="12">
        <f>SUMIF('Opportunities'!$D$2:$D$143,$A5,'Opportunities'!$H$2:$H$143)</f>
        <v/>
      </c>
      <c r="G5" s="12">
        <f>COUNTIFS('Opportunities'!$D$2:$D$143,$A5,'Opportunities'!$J$2:$J$143,"&gt;0")</f>
        <v/>
      </c>
      <c r="H5" s="12" t="inlineStr">
        <is>
          <t>-</t>
        </is>
      </c>
    </row>
    <row r="6">
      <c r="A6" s="7" t="inlineStr">
        <is>
          <t>https://betterwaste.co.uk/areas-we-cover/liverpool/</t>
        </is>
      </c>
      <c r="B6" s="12" t="inlineStr">
        <is>
          <t>Location</t>
        </is>
      </c>
      <c r="C6" s="12" t="inlineStr">
        <is>
          <t>CREATE</t>
        </is>
      </c>
      <c r="D6" s="13" t="inlineStr">
        <is>
          <t>EASY</t>
        </is>
      </c>
      <c r="E6" s="12">
        <f>COUNTIF('Opportunities'!$D$2:$D$143,$A6)</f>
        <v/>
      </c>
      <c r="F6" s="12">
        <f>SUMIF('Opportunities'!$D$2:$D$143,$A6,'Opportunities'!$H$2:$H$143)</f>
        <v/>
      </c>
      <c r="G6" s="12">
        <f>COUNTIFS('Opportunities'!$D$2:$D$143,$A6,'Opportunities'!$J$2:$J$143,"&gt;0")</f>
        <v/>
      </c>
      <c r="H6" s="12" t="inlineStr">
        <is>
          <t>-</t>
        </is>
      </c>
    </row>
    <row r="7">
      <c r="A7" s="7" t="inlineStr">
        <is>
          <t>https://betterwaste.co.uk/areas-we-cover/nottingham/</t>
        </is>
      </c>
      <c r="B7" s="12" t="inlineStr">
        <is>
          <t>Location</t>
        </is>
      </c>
      <c r="C7" s="12" t="inlineStr">
        <is>
          <t>OPTIMISE</t>
        </is>
      </c>
      <c r="D7" s="13" t="inlineStr">
        <is>
          <t>EASY</t>
        </is>
      </c>
      <c r="E7" s="12">
        <f>COUNTIF('Opportunities'!$D$2:$D$143,$A7)</f>
        <v/>
      </c>
      <c r="F7" s="12">
        <f>SUMIF('Opportunities'!$D$2:$D$143,$A7,'Opportunities'!$H$2:$H$143)</f>
        <v/>
      </c>
      <c r="G7" s="12">
        <f>COUNTIFS('Opportunities'!$D$2:$D$143,$A7,'Opportunities'!$J$2:$J$143,"&gt;0")</f>
        <v/>
      </c>
      <c r="H7" s="12" t="inlineStr">
        <is>
          <t>-</t>
        </is>
      </c>
    </row>
    <row r="8">
      <c r="A8" s="7" t="inlineStr">
        <is>
          <t>https://betterwaste.co.uk/bakery-waste-management/</t>
        </is>
      </c>
      <c r="B8" s="12" t="inlineStr">
        <is>
          <t>Sector</t>
        </is>
      </c>
      <c r="C8" s="12" t="inlineStr">
        <is>
          <t>OPTIMISE</t>
        </is>
      </c>
      <c r="D8" s="13" t="inlineStr">
        <is>
          <t>EASY</t>
        </is>
      </c>
      <c r="E8" s="12">
        <f>COUNTIF('Opportunities'!$D$2:$D$143,$A8)</f>
        <v/>
      </c>
      <c r="F8" s="12">
        <f>SUMIF('Opportunities'!$D$2:$D$143,$A8,'Opportunities'!$H$2:$H$143)</f>
        <v/>
      </c>
      <c r="G8" s="12">
        <f>COUNTIFS('Opportunities'!$D$2:$D$143,$A8,'Opportunities'!$J$2:$J$143,"&gt;0")</f>
        <v/>
      </c>
      <c r="H8" s="12" t="n">
        <v>25</v>
      </c>
    </row>
    <row r="9">
      <c r="A9" s="7" t="inlineStr">
        <is>
          <t>https://betterwaste.co.uk/binpedia/</t>
        </is>
      </c>
      <c r="B9" s="12" t="inlineStr">
        <is>
          <t>Gap vs competitors</t>
        </is>
      </c>
      <c r="C9" s="12" t="inlineStr">
        <is>
          <t>OPTIMISE</t>
        </is>
      </c>
      <c r="D9" s="13" t="inlineStr">
        <is>
          <t>EASY</t>
        </is>
      </c>
      <c r="E9" s="12">
        <f>COUNTIF('Opportunities'!$D$2:$D$143,$A9)</f>
        <v/>
      </c>
      <c r="F9" s="12">
        <f>SUMIF('Opportunities'!$D$2:$D$143,$A9,'Opportunities'!$H$2:$H$143)</f>
        <v/>
      </c>
      <c r="G9" s="12">
        <f>COUNTIFS('Opportunities'!$D$2:$D$143,$A9,'Opportunities'!$J$2:$J$143,"&gt;0")</f>
        <v/>
      </c>
      <c r="H9" s="12" t="n">
        <v>39</v>
      </c>
    </row>
    <row r="10">
      <c r="A10" s="7" t="inlineStr">
        <is>
          <t>https://betterwaste.co.uk/bins/1100l-bin/</t>
        </is>
      </c>
      <c r="B10" s="12" t="inlineStr">
        <is>
          <t>Gap vs competitors</t>
        </is>
      </c>
      <c r="C10" s="12" t="inlineStr">
        <is>
          <t>OPTIMISE</t>
        </is>
      </c>
      <c r="D10" s="13" t="inlineStr">
        <is>
          <t>EASY</t>
        </is>
      </c>
      <c r="E10" s="12">
        <f>COUNTIF('Opportunities'!$D$2:$D$143,$A10)</f>
        <v/>
      </c>
      <c r="F10" s="12">
        <f>SUMIF('Opportunities'!$D$2:$D$143,$A10,'Opportunities'!$H$2:$H$143)</f>
        <v/>
      </c>
      <c r="G10" s="12">
        <f>COUNTIFS('Opportunities'!$D$2:$D$143,$A10,'Opportunities'!$J$2:$J$143,"&gt;0")</f>
        <v/>
      </c>
      <c r="H10" s="12" t="inlineStr">
        <is>
          <t>-</t>
        </is>
      </c>
    </row>
    <row r="11">
      <c r="A11" s="7" t="inlineStr">
        <is>
          <t>https://betterwaste.co.uk/bins/240l-bin/</t>
        </is>
      </c>
      <c r="B11" s="12" t="inlineStr">
        <is>
          <t>Gap vs competitors</t>
        </is>
      </c>
      <c r="C11" s="12" t="inlineStr">
        <is>
          <t>OPTIMISE</t>
        </is>
      </c>
      <c r="D11" s="13" t="inlineStr">
        <is>
          <t>EASY</t>
        </is>
      </c>
      <c r="E11" s="12">
        <f>COUNTIF('Opportunities'!$D$2:$D$143,$A11)</f>
        <v/>
      </c>
      <c r="F11" s="12">
        <f>SUMIF('Opportunities'!$D$2:$D$143,$A11,'Opportunities'!$H$2:$H$143)</f>
        <v/>
      </c>
      <c r="G11" s="12">
        <f>COUNTIFS('Opportunities'!$D$2:$D$143,$A11,'Opportunities'!$J$2:$J$143,"&gt;0")</f>
        <v/>
      </c>
      <c r="H11" s="12" t="inlineStr">
        <is>
          <t>-</t>
        </is>
      </c>
    </row>
    <row r="12">
      <c r="A12" s="7" t="inlineStr">
        <is>
          <t>https://betterwaste.co.uk/bins/360l-bin/</t>
        </is>
      </c>
      <c r="B12" s="12" t="inlineStr">
        <is>
          <t>Gap vs competitors</t>
        </is>
      </c>
      <c r="C12" s="12" t="inlineStr">
        <is>
          <t>OPTIMISE</t>
        </is>
      </c>
      <c r="D12" s="13" t="inlineStr">
        <is>
          <t>EASY</t>
        </is>
      </c>
      <c r="E12" s="12">
        <f>COUNTIF('Opportunities'!$D$2:$D$143,$A12)</f>
        <v/>
      </c>
      <c r="F12" s="12">
        <f>SUMIF('Opportunities'!$D$2:$D$143,$A12,'Opportunities'!$H$2:$H$143)</f>
        <v/>
      </c>
      <c r="G12" s="12">
        <f>COUNTIFS('Opportunities'!$D$2:$D$143,$A12,'Opportunities'!$J$2:$J$143,"&gt;0")</f>
        <v/>
      </c>
      <c r="H12" s="12" t="inlineStr">
        <is>
          <t>-</t>
        </is>
      </c>
    </row>
    <row r="13">
      <c r="A13" s="7" t="inlineStr">
        <is>
          <t>https://betterwaste.co.uk/bins/660l-bin/</t>
        </is>
      </c>
      <c r="B13" s="12" t="inlineStr">
        <is>
          <t>Gap vs competitors</t>
        </is>
      </c>
      <c r="C13" s="12" t="inlineStr">
        <is>
          <t>OPTIMISE</t>
        </is>
      </c>
      <c r="D13" s="13" t="inlineStr">
        <is>
          <t>EASY</t>
        </is>
      </c>
      <c r="E13" s="12">
        <f>COUNTIF('Opportunities'!$D$2:$D$143,$A13)</f>
        <v/>
      </c>
      <c r="F13" s="12">
        <f>SUMIF('Opportunities'!$D$2:$D$143,$A13,'Opportunities'!$H$2:$H$143)</f>
        <v/>
      </c>
      <c r="G13" s="12">
        <f>COUNTIFS('Opportunities'!$D$2:$D$143,$A13,'Opportunities'!$J$2:$J$143,"&gt;0")</f>
        <v/>
      </c>
      <c r="H13" s="12" t="inlineStr">
        <is>
          <t>-</t>
        </is>
      </c>
    </row>
    <row r="14">
      <c r="A14" s="7" t="inlineStr">
        <is>
          <t>https://betterwaste.co.uk/butchers-waste-collection/</t>
        </is>
      </c>
      <c r="B14" s="12" t="inlineStr">
        <is>
          <t>Sector</t>
        </is>
      </c>
      <c r="C14" s="12" t="inlineStr">
        <is>
          <t>CREATE</t>
        </is>
      </c>
      <c r="D14" s="13" t="inlineStr">
        <is>
          <t>EASY</t>
        </is>
      </c>
      <c r="E14" s="12">
        <f>COUNTIF('Opportunities'!$D$2:$D$143,$A14)</f>
        <v/>
      </c>
      <c r="F14" s="12">
        <f>SUMIF('Opportunities'!$D$2:$D$143,$A14,'Opportunities'!$H$2:$H$143)</f>
        <v/>
      </c>
      <c r="G14" s="12">
        <f>COUNTIFS('Opportunities'!$D$2:$D$143,$A14,'Opportunities'!$J$2:$J$143,"&gt;0")</f>
        <v/>
      </c>
      <c r="H14" s="12" t="inlineStr">
        <is>
          <t>-</t>
        </is>
      </c>
    </row>
    <row r="15">
      <c r="A15" s="7" t="inlineStr">
        <is>
          <t>https://betterwaste.co.uk/cafe-waste-management/</t>
        </is>
      </c>
      <c r="B15" s="12" t="inlineStr">
        <is>
          <t>Sector</t>
        </is>
      </c>
      <c r="C15" s="12" t="inlineStr">
        <is>
          <t>OPTIMISE</t>
        </is>
      </c>
      <c r="D15" s="13" t="inlineStr">
        <is>
          <t>EASY</t>
        </is>
      </c>
      <c r="E15" s="12">
        <f>COUNTIF('Opportunities'!$D$2:$D$143,$A15)</f>
        <v/>
      </c>
      <c r="F15" s="12">
        <f>SUMIF('Opportunities'!$D$2:$D$143,$A15,'Opportunities'!$H$2:$H$143)</f>
        <v/>
      </c>
      <c r="G15" s="12">
        <f>COUNTIFS('Opportunities'!$D$2:$D$143,$A15,'Opportunities'!$J$2:$J$143,"&gt;0")</f>
        <v/>
      </c>
      <c r="H15" s="12" t="n">
        <v>19</v>
      </c>
    </row>
    <row r="16">
      <c r="A16" s="7" t="inlineStr">
        <is>
          <t>https://betterwaste.co.uk/commercial-skip-hire/</t>
        </is>
      </c>
      <c r="B16" s="12" t="inlineStr">
        <is>
          <t>Gap vs competitors</t>
        </is>
      </c>
      <c r="C16" s="12" t="inlineStr">
        <is>
          <t>CREATE</t>
        </is>
      </c>
      <c r="D16" s="13" t="inlineStr">
        <is>
          <t>EASY</t>
        </is>
      </c>
      <c r="E16" s="12">
        <f>COUNTIF('Opportunities'!$D$2:$D$143,$A16)</f>
        <v/>
      </c>
      <c r="F16" s="12">
        <f>SUMIF('Opportunities'!$D$2:$D$143,$A16,'Opportunities'!$H$2:$H$143)</f>
        <v/>
      </c>
      <c r="G16" s="12">
        <f>COUNTIFS('Opportunities'!$D$2:$D$143,$A16,'Opportunities'!$J$2:$J$143,"&gt;0")</f>
        <v/>
      </c>
      <c r="H16" s="12" t="inlineStr">
        <is>
          <t>-</t>
        </is>
      </c>
    </row>
    <row r="17">
      <c r="A17" s="7" t="inlineStr">
        <is>
          <t>https://betterwaste.co.uk/confidential-waste/</t>
        </is>
      </c>
      <c r="B17" s="12" t="inlineStr">
        <is>
          <t>Gap vs competitors</t>
        </is>
      </c>
      <c r="C17" s="12" t="inlineStr">
        <is>
          <t>CREATE</t>
        </is>
      </c>
      <c r="D17" s="13" t="inlineStr">
        <is>
          <t>EASY</t>
        </is>
      </c>
      <c r="E17" s="12">
        <f>COUNTIF('Opportunities'!$D$2:$D$143,$A17)</f>
        <v/>
      </c>
      <c r="F17" s="12">
        <f>SUMIF('Opportunities'!$D$2:$D$143,$A17,'Opportunities'!$H$2:$H$143)</f>
        <v/>
      </c>
      <c r="G17" s="12">
        <f>COUNTIFS('Opportunities'!$D$2:$D$143,$A17,'Opportunities'!$J$2:$J$143,"&gt;0")</f>
        <v/>
      </c>
      <c r="H17" s="12" t="inlineStr">
        <is>
          <t>-</t>
        </is>
      </c>
    </row>
    <row r="18">
      <c r="A18" s="7" t="inlineStr">
        <is>
          <t>https://betterwaste.co.uk/cooking-oil-collection/</t>
        </is>
      </c>
      <c r="B18" s="12" t="inlineStr">
        <is>
          <t>Waste Type</t>
        </is>
      </c>
      <c r="C18" s="12" t="inlineStr">
        <is>
          <t>CREATE</t>
        </is>
      </c>
      <c r="D18" s="13" t="inlineStr">
        <is>
          <t>EASY</t>
        </is>
      </c>
      <c r="E18" s="12">
        <f>COUNTIF('Opportunities'!$D$2:$D$143,$A18)</f>
        <v/>
      </c>
      <c r="F18" s="12">
        <f>SUMIF('Opportunities'!$D$2:$D$143,$A18,'Opportunities'!$H$2:$H$143)</f>
        <v/>
      </c>
      <c r="G18" s="12">
        <f>COUNTIFS('Opportunities'!$D$2:$D$143,$A18,'Opportunities'!$J$2:$J$143,"&gt;0")</f>
        <v/>
      </c>
      <c r="H18" s="12" t="inlineStr">
        <is>
          <t>-</t>
        </is>
      </c>
    </row>
    <row r="19">
      <c r="A19" s="7" t="inlineStr">
        <is>
          <t>https://betterwaste.co.uk/dry-mixed-recycling-waste/</t>
        </is>
      </c>
      <c r="B19" s="12" t="inlineStr">
        <is>
          <t>Gap vs competitors</t>
        </is>
      </c>
      <c r="C19" s="12" t="inlineStr">
        <is>
          <t>OPTIMISE</t>
        </is>
      </c>
      <c r="D19" s="13" t="inlineStr">
        <is>
          <t>EASY</t>
        </is>
      </c>
      <c r="E19" s="12">
        <f>COUNTIF('Opportunities'!$D$2:$D$143,$A19)</f>
        <v/>
      </c>
      <c r="F19" s="12">
        <f>SUMIF('Opportunities'!$D$2:$D$143,$A19,'Opportunities'!$H$2:$H$143)</f>
        <v/>
      </c>
      <c r="G19" s="12">
        <f>COUNTIFS('Opportunities'!$D$2:$D$143,$A19,'Opportunities'!$J$2:$J$143,"&gt;0")</f>
        <v/>
      </c>
      <c r="H19" s="12" t="n">
        <v>57</v>
      </c>
    </row>
    <row r="20">
      <c r="A20" s="7" t="inlineStr">
        <is>
          <t>https://betterwaste.co.uk/hair-salon-waste-management/</t>
        </is>
      </c>
      <c r="B20" s="12" t="inlineStr">
        <is>
          <t>Sector</t>
        </is>
      </c>
      <c r="C20" s="12" t="inlineStr">
        <is>
          <t>OPTIMISE</t>
        </is>
      </c>
      <c r="D20" s="13" t="inlineStr">
        <is>
          <t>EASY</t>
        </is>
      </c>
      <c r="E20" s="12">
        <f>COUNTIF('Opportunities'!$D$2:$D$143,$A20)</f>
        <v/>
      </c>
      <c r="F20" s="12">
        <f>SUMIF('Opportunities'!$D$2:$D$143,$A20,'Opportunities'!$H$2:$H$143)</f>
        <v/>
      </c>
      <c r="G20" s="12">
        <f>COUNTIFS('Opportunities'!$D$2:$D$143,$A20,'Opportunities'!$J$2:$J$143,"&gt;0")</f>
        <v/>
      </c>
      <c r="H20" s="12" t="n">
        <v>21</v>
      </c>
    </row>
    <row r="21">
      <c r="A21" s="7" t="inlineStr">
        <is>
          <t>https://betterwaste.co.uk/it-equipment-disposal/</t>
        </is>
      </c>
      <c r="B21" s="12" t="inlineStr">
        <is>
          <t>Gap vs competitors</t>
        </is>
      </c>
      <c r="C21" s="12" t="inlineStr">
        <is>
          <t>CREATE</t>
        </is>
      </c>
      <c r="D21" s="13" t="inlineStr">
        <is>
          <t>EASY</t>
        </is>
      </c>
      <c r="E21" s="12">
        <f>COUNTIF('Opportunities'!$D$2:$D$143,$A21)</f>
        <v/>
      </c>
      <c r="F21" s="12">
        <f>SUMIF('Opportunities'!$D$2:$D$143,$A21,'Opportunities'!$H$2:$H$143)</f>
        <v/>
      </c>
      <c r="G21" s="12">
        <f>COUNTIFS('Opportunities'!$D$2:$D$143,$A21,'Opportunities'!$J$2:$J$143,"&gt;0")</f>
        <v/>
      </c>
      <c r="H21" s="12" t="inlineStr">
        <is>
          <t>-</t>
        </is>
      </c>
    </row>
    <row r="22">
      <c r="A22" s="7" t="inlineStr">
        <is>
          <t>https://betterwaste.co.uk/metal-waste/</t>
        </is>
      </c>
      <c r="B22" s="12" t="inlineStr">
        <is>
          <t>Waste Type</t>
        </is>
      </c>
      <c r="C22" s="12" t="inlineStr">
        <is>
          <t>CREATE</t>
        </is>
      </c>
      <c r="D22" s="13" t="inlineStr">
        <is>
          <t>EASY</t>
        </is>
      </c>
      <c r="E22" s="12">
        <f>COUNTIF('Opportunities'!$D$2:$D$143,$A22)</f>
        <v/>
      </c>
      <c r="F22" s="12">
        <f>SUMIF('Opportunities'!$D$2:$D$143,$A22,'Opportunities'!$H$2:$H$143)</f>
        <v/>
      </c>
      <c r="G22" s="12">
        <f>COUNTIFS('Opportunities'!$D$2:$D$143,$A22,'Opportunities'!$J$2:$J$143,"&gt;0")</f>
        <v/>
      </c>
      <c r="H22" s="12" t="inlineStr">
        <is>
          <t>-</t>
        </is>
      </c>
    </row>
    <row r="23">
      <c r="A23" s="7" t="inlineStr">
        <is>
          <t>https://betterwaste.co.uk/office-waste-management/</t>
        </is>
      </c>
      <c r="B23" s="12" t="inlineStr">
        <is>
          <t>Gap vs competitors</t>
        </is>
      </c>
      <c r="C23" s="12" t="inlineStr">
        <is>
          <t>OPTIMISE</t>
        </is>
      </c>
      <c r="D23" s="13" t="inlineStr">
        <is>
          <t>EASY</t>
        </is>
      </c>
      <c r="E23" s="12">
        <f>COUNTIF('Opportunities'!$D$2:$D$143,$A23)</f>
        <v/>
      </c>
      <c r="F23" s="12">
        <f>SUMIF('Opportunities'!$D$2:$D$143,$A23,'Opportunities'!$H$2:$H$143)</f>
        <v/>
      </c>
      <c r="G23" s="12">
        <f>COUNTIFS('Opportunities'!$D$2:$D$143,$A23,'Opportunities'!$J$2:$J$143,"&gt;0")</f>
        <v/>
      </c>
      <c r="H23" s="12" t="n">
        <v>65</v>
      </c>
    </row>
    <row r="24">
      <c r="A24" s="7" t="inlineStr">
        <is>
          <t>https://betterwaste.co.uk/paper-and-cardboard-waste/</t>
        </is>
      </c>
      <c r="B24" s="12" t="inlineStr">
        <is>
          <t>Gap vs competitors</t>
        </is>
      </c>
      <c r="C24" s="12" t="inlineStr">
        <is>
          <t>OPTIMISE</t>
        </is>
      </c>
      <c r="D24" s="13" t="inlineStr">
        <is>
          <t>EASY</t>
        </is>
      </c>
      <c r="E24" s="12">
        <f>COUNTIF('Opportunities'!$D$2:$D$143,$A24)</f>
        <v/>
      </c>
      <c r="F24" s="12">
        <f>SUMIF('Opportunities'!$D$2:$D$143,$A24,'Opportunities'!$H$2:$H$143)</f>
        <v/>
      </c>
      <c r="G24" s="12">
        <f>COUNTIFS('Opportunities'!$D$2:$D$143,$A24,'Opportunities'!$J$2:$J$143,"&gt;0")</f>
        <v/>
      </c>
      <c r="H24" s="12" t="n">
        <v>36</v>
      </c>
    </row>
    <row r="25">
      <c r="A25" s="7" t="inlineStr">
        <is>
          <t>https://betterwaste.co.uk/pub-waste-management/</t>
        </is>
      </c>
      <c r="B25" s="12" t="inlineStr">
        <is>
          <t>Sector</t>
        </is>
      </c>
      <c r="C25" s="12" t="inlineStr">
        <is>
          <t>OPTIMISE</t>
        </is>
      </c>
      <c r="D25" s="13" t="inlineStr">
        <is>
          <t>EASY</t>
        </is>
      </c>
      <c r="E25" s="12">
        <f>COUNTIF('Opportunities'!$D$2:$D$143,$A25)</f>
        <v/>
      </c>
      <c r="F25" s="12">
        <f>SUMIF('Opportunities'!$D$2:$D$143,$A25,'Opportunities'!$H$2:$H$143)</f>
        <v/>
      </c>
      <c r="G25" s="12">
        <f>COUNTIFS('Opportunities'!$D$2:$D$143,$A25,'Opportunities'!$J$2:$J$143,"&gt;0")</f>
        <v/>
      </c>
      <c r="H25" s="12" t="n">
        <v>13</v>
      </c>
    </row>
    <row r="26">
      <c r="A26" s="7" t="inlineStr">
        <is>
          <t>https://betterwaste.co.uk/restaurant-waste-management/</t>
        </is>
      </c>
      <c r="B26" s="12" t="inlineStr">
        <is>
          <t>Sector</t>
        </is>
      </c>
      <c r="C26" s="12" t="inlineStr">
        <is>
          <t>OPTIMISE</t>
        </is>
      </c>
      <c r="D26" s="13" t="inlineStr">
        <is>
          <t>EASY</t>
        </is>
      </c>
      <c r="E26" s="12">
        <f>COUNTIF('Opportunities'!$D$2:$D$143,$A26)</f>
        <v/>
      </c>
      <c r="F26" s="12">
        <f>SUMIF('Opportunities'!$D$2:$D$143,$A26,'Opportunities'!$H$2:$H$143)</f>
        <v/>
      </c>
      <c r="G26" s="12">
        <f>COUNTIFS('Opportunities'!$D$2:$D$143,$A26,'Opportunities'!$J$2:$J$143,"&gt;0")</f>
        <v/>
      </c>
      <c r="H26" s="12" t="n">
        <v>25</v>
      </c>
    </row>
    <row r="27">
      <c r="A27" s="7" t="inlineStr">
        <is>
          <t>https://betterwaste.co.uk/retail-waste-management/</t>
        </is>
      </c>
      <c r="B27" s="12" t="inlineStr">
        <is>
          <t>Sector</t>
        </is>
      </c>
      <c r="C27" s="12" t="inlineStr">
        <is>
          <t>OPTIMISE</t>
        </is>
      </c>
      <c r="D27" s="13" t="inlineStr">
        <is>
          <t>EASY</t>
        </is>
      </c>
      <c r="E27" s="12">
        <f>COUNTIF('Opportunities'!$D$2:$D$143,$A27)</f>
        <v/>
      </c>
      <c r="F27" s="12">
        <f>SUMIF('Opportunities'!$D$2:$D$143,$A27,'Opportunities'!$H$2:$H$143)</f>
        <v/>
      </c>
      <c r="G27" s="12">
        <f>COUNTIFS('Opportunities'!$D$2:$D$143,$A27,'Opportunities'!$J$2:$J$143,"&gt;0")</f>
        <v/>
      </c>
      <c r="H27" s="12" t="n">
        <v>45</v>
      </c>
    </row>
    <row r="28">
      <c r="A28" s="7" t="inlineStr">
        <is>
          <t>https://betterwaste.co.uk/sanitary-waste/</t>
        </is>
      </c>
      <c r="B28" s="12" t="inlineStr">
        <is>
          <t>Waste Type</t>
        </is>
      </c>
      <c r="C28" s="12" t="inlineStr">
        <is>
          <t>CREATE</t>
        </is>
      </c>
      <c r="D28" s="13" t="inlineStr">
        <is>
          <t>EASY</t>
        </is>
      </c>
      <c r="E28" s="12">
        <f>COUNTIF('Opportunities'!$D$2:$D$143,$A28)</f>
        <v/>
      </c>
      <c r="F28" s="12">
        <f>SUMIF('Opportunities'!$D$2:$D$143,$A28,'Opportunities'!$H$2:$H$143)</f>
        <v/>
      </c>
      <c r="G28" s="12">
        <f>COUNTIFS('Opportunities'!$D$2:$D$143,$A28,'Opportunities'!$J$2:$J$143,"&gt;0")</f>
        <v/>
      </c>
      <c r="H28" s="12" t="inlineStr">
        <is>
          <t>-</t>
        </is>
      </c>
    </row>
    <row r="29">
      <c r="A29" s="7" t="inlineStr">
        <is>
          <t>https://betterwaste.co.uk/takeaway-waste-management/</t>
        </is>
      </c>
      <c r="B29" s="12" t="inlineStr">
        <is>
          <t>Sector</t>
        </is>
      </c>
      <c r="C29" s="12" t="inlineStr">
        <is>
          <t>OPTIMISE</t>
        </is>
      </c>
      <c r="D29" s="13" t="inlineStr">
        <is>
          <t>EASY</t>
        </is>
      </c>
      <c r="E29" s="12">
        <f>COUNTIF('Opportunities'!$D$2:$D$143,$A29)</f>
        <v/>
      </c>
      <c r="F29" s="12">
        <f>SUMIF('Opportunities'!$D$2:$D$143,$A29,'Opportunities'!$H$2:$H$143)</f>
        <v/>
      </c>
      <c r="G29" s="12">
        <f>COUNTIFS('Opportunities'!$D$2:$D$143,$A29,'Opportunities'!$J$2:$J$143,"&gt;0")</f>
        <v/>
      </c>
      <c r="H29" s="12" t="n">
        <v>15</v>
      </c>
    </row>
    <row r="30">
      <c r="A30" s="7" t="inlineStr">
        <is>
          <t>https://betterwaste.co.uk/wood-waste/</t>
        </is>
      </c>
      <c r="B30" s="12" t="inlineStr">
        <is>
          <t>Waste Type</t>
        </is>
      </c>
      <c r="C30" s="12" t="inlineStr">
        <is>
          <t>CREATE</t>
        </is>
      </c>
      <c r="D30" s="13" t="inlineStr">
        <is>
          <t>EASY</t>
        </is>
      </c>
      <c r="E30" s="12">
        <f>COUNTIF('Opportunities'!$D$2:$D$143,$A30)</f>
        <v/>
      </c>
      <c r="F30" s="12">
        <f>SUMIF('Opportunities'!$D$2:$D$143,$A30,'Opportunities'!$H$2:$H$143)</f>
        <v/>
      </c>
      <c r="G30" s="12">
        <f>COUNTIFS('Opportunities'!$D$2:$D$143,$A30,'Opportunities'!$J$2:$J$143,"&gt;0")</f>
        <v/>
      </c>
      <c r="H30" s="12" t="inlineStr">
        <is>
          <t>-</t>
        </is>
      </c>
    </row>
    <row r="31">
      <c r="A31" s="7" t="inlineStr">
        <is>
          <t>https://betterwaste.co.uk/areas-we-cover/</t>
        </is>
      </c>
      <c r="B31" s="12" t="inlineStr">
        <is>
          <t>Location</t>
        </is>
      </c>
      <c r="C31" s="12" t="inlineStr">
        <is>
          <t>OPTIMISE</t>
        </is>
      </c>
      <c r="D31" s="14" t="inlineStr">
        <is>
          <t>MEDIUM</t>
        </is>
      </c>
      <c r="E31" s="12">
        <f>COUNTIF('Opportunities'!$D$2:$D$143,$A31)</f>
        <v/>
      </c>
      <c r="F31" s="12">
        <f>SUMIF('Opportunities'!$D$2:$D$143,$A31,'Opportunities'!$H$2:$H$143)</f>
        <v/>
      </c>
      <c r="G31" s="12">
        <f>COUNTIFS('Opportunities'!$D$2:$D$143,$A31,'Opportunities'!$J$2:$J$143,"&gt;0")</f>
        <v/>
      </c>
      <c r="H31" s="12" t="inlineStr">
        <is>
          <t>-</t>
        </is>
      </c>
    </row>
    <row r="32">
      <c r="A32" s="7" t="inlineStr">
        <is>
          <t>https://betterwaste.co.uk/areas-we-cover/birmingham/</t>
        </is>
      </c>
      <c r="B32" s="12" t="inlineStr">
        <is>
          <t>Location</t>
        </is>
      </c>
      <c r="C32" s="12" t="inlineStr">
        <is>
          <t>OPTIMISE</t>
        </is>
      </c>
      <c r="D32" s="14" t="inlineStr">
        <is>
          <t>MEDIUM</t>
        </is>
      </c>
      <c r="E32" s="12">
        <f>COUNTIF('Opportunities'!$D$2:$D$143,$A32)</f>
        <v/>
      </c>
      <c r="F32" s="12">
        <f>SUMIF('Opportunities'!$D$2:$D$143,$A32,'Opportunities'!$H$2:$H$143)</f>
        <v/>
      </c>
      <c r="G32" s="12">
        <f>COUNTIFS('Opportunities'!$D$2:$D$143,$A32,'Opportunities'!$J$2:$J$143,"&gt;0")</f>
        <v/>
      </c>
      <c r="H32" s="12" t="n">
        <v>21</v>
      </c>
    </row>
    <row r="33">
      <c r="A33" s="7" t="inlineStr">
        <is>
          <t>https://betterwaste.co.uk/areas-we-cover/london/</t>
        </is>
      </c>
      <c r="B33" s="12" t="inlineStr">
        <is>
          <t>Location</t>
        </is>
      </c>
      <c r="C33" s="12" t="inlineStr">
        <is>
          <t>OPTIMISE</t>
        </is>
      </c>
      <c r="D33" s="14" t="inlineStr">
        <is>
          <t>MEDIUM</t>
        </is>
      </c>
      <c r="E33" s="12">
        <f>COUNTIF('Opportunities'!$D$2:$D$143,$A33)</f>
        <v/>
      </c>
      <c r="F33" s="12">
        <f>SUMIF('Opportunities'!$D$2:$D$143,$A33,'Opportunities'!$H$2:$H$143)</f>
        <v/>
      </c>
      <c r="G33" s="12">
        <f>COUNTIFS('Opportunities'!$D$2:$D$143,$A33,'Opportunities'!$J$2:$J$143,"&gt;0")</f>
        <v/>
      </c>
      <c r="H33" s="12" t="n">
        <v>28</v>
      </c>
    </row>
    <row r="34">
      <c r="A34" s="7" t="inlineStr">
        <is>
          <t>https://betterwaste.co.uk/areas-we-cover/manchester/</t>
        </is>
      </c>
      <c r="B34" s="12" t="inlineStr">
        <is>
          <t>Location</t>
        </is>
      </c>
      <c r="C34" s="12" t="inlineStr">
        <is>
          <t>FIX</t>
        </is>
      </c>
      <c r="D34" s="14" t="inlineStr">
        <is>
          <t>MEDIUM</t>
        </is>
      </c>
      <c r="E34" s="12">
        <f>COUNTIF('Opportunities'!$D$2:$D$143,$A34)</f>
        <v/>
      </c>
      <c r="F34" s="12">
        <f>SUMIF('Opportunities'!$D$2:$D$143,$A34,'Opportunities'!$H$2:$H$143)</f>
        <v/>
      </c>
      <c r="G34" s="12">
        <f>COUNTIFS('Opportunities'!$D$2:$D$143,$A34,'Opportunities'!$J$2:$J$143,"&gt;0")</f>
        <v/>
      </c>
      <c r="H34" s="12" t="n">
        <v>11</v>
      </c>
    </row>
    <row r="35">
      <c r="A35" s="7" t="inlineStr">
        <is>
          <t>https://betterwaste.co.uk/areas-we-cover/sheffield/</t>
        </is>
      </c>
      <c r="B35" s="12" t="inlineStr">
        <is>
          <t>Location</t>
        </is>
      </c>
      <c r="C35" s="12" t="inlineStr">
        <is>
          <t>OPTIMISE</t>
        </is>
      </c>
      <c r="D35" s="14" t="inlineStr">
        <is>
          <t>MEDIUM</t>
        </is>
      </c>
      <c r="E35" s="12">
        <f>COUNTIF('Opportunities'!$D$2:$D$143,$A35)</f>
        <v/>
      </c>
      <c r="F35" s="12">
        <f>SUMIF('Opportunities'!$D$2:$D$143,$A35,'Opportunities'!$H$2:$H$143)</f>
        <v/>
      </c>
      <c r="G35" s="12">
        <f>COUNTIFS('Opportunities'!$D$2:$D$143,$A35,'Opportunities'!$J$2:$J$143,"&gt;0")</f>
        <v/>
      </c>
      <c r="H35" s="12" t="inlineStr">
        <is>
          <t>-</t>
        </is>
      </c>
    </row>
    <row r="36">
      <c r="A36" s="7" t="inlineStr">
        <is>
          <t>https://betterwaste.co.uk/binpedia/commercial-bin-sizes/</t>
        </is>
      </c>
      <c r="B36" s="12" t="inlineStr">
        <is>
          <t>Informational</t>
        </is>
      </c>
      <c r="C36" s="12" t="inlineStr">
        <is>
          <t>CREATE</t>
        </is>
      </c>
      <c r="D36" s="14" t="inlineStr">
        <is>
          <t>MEDIUM</t>
        </is>
      </c>
      <c r="E36" s="12">
        <f>COUNTIF('Opportunities'!$D$2:$D$143,$A36)</f>
        <v/>
      </c>
      <c r="F36" s="12">
        <f>SUMIF('Opportunities'!$D$2:$D$143,$A36,'Opportunities'!$H$2:$H$143)</f>
        <v/>
      </c>
      <c r="G36" s="12">
        <f>COUNTIFS('Opportunities'!$D$2:$D$143,$A36,'Opportunities'!$J$2:$J$143,"&gt;0")</f>
        <v/>
      </c>
      <c r="H36" s="12" t="inlineStr">
        <is>
          <t>-</t>
        </is>
      </c>
    </row>
    <row r="37">
      <c r="A37" s="7" t="inlineStr">
        <is>
          <t>https://betterwaste.co.uk/care-home-waste-management/</t>
        </is>
      </c>
      <c r="B37" s="12" t="inlineStr">
        <is>
          <t>Sector</t>
        </is>
      </c>
      <c r="C37" s="12" t="inlineStr">
        <is>
          <t>CREATE</t>
        </is>
      </c>
      <c r="D37" s="14" t="inlineStr">
        <is>
          <t>MEDIUM</t>
        </is>
      </c>
      <c r="E37" s="12">
        <f>COUNTIF('Opportunities'!$D$2:$D$143,$A37)</f>
        <v/>
      </c>
      <c r="F37" s="12">
        <f>SUMIF('Opportunities'!$D$2:$D$143,$A37,'Opportunities'!$H$2:$H$143)</f>
        <v/>
      </c>
      <c r="G37" s="12">
        <f>COUNTIFS('Opportunities'!$D$2:$D$143,$A37,'Opportunities'!$J$2:$J$143,"&gt;0")</f>
        <v/>
      </c>
      <c r="H37" s="12" t="inlineStr">
        <is>
          <t>-</t>
        </is>
      </c>
    </row>
    <row r="38">
      <c r="A38" s="7" t="inlineStr">
        <is>
          <t>https://betterwaste.co.uk/clinical-waste-disposal-clinical-waste-collection-companies/</t>
        </is>
      </c>
      <c r="B38" s="12" t="inlineStr">
        <is>
          <t>Gap vs competitors</t>
        </is>
      </c>
      <c r="C38" s="12" t="inlineStr">
        <is>
          <t>OPTIMISE</t>
        </is>
      </c>
      <c r="D38" s="14" t="inlineStr">
        <is>
          <t>MEDIUM</t>
        </is>
      </c>
      <c r="E38" s="12">
        <f>COUNTIF('Opportunities'!$D$2:$D$143,$A38)</f>
        <v/>
      </c>
      <c r="F38" s="12">
        <f>SUMIF('Opportunities'!$D$2:$D$143,$A38,'Opportunities'!$H$2:$H$143)</f>
        <v/>
      </c>
      <c r="G38" s="12">
        <f>COUNTIFS('Opportunities'!$D$2:$D$143,$A38,'Opportunities'!$J$2:$J$143,"&gt;0")</f>
        <v/>
      </c>
      <c r="H38" s="12" t="inlineStr">
        <is>
          <t>-</t>
        </is>
      </c>
    </row>
    <row r="39">
      <c r="A39" s="7" t="inlineStr">
        <is>
          <t>https://betterwaste.co.uk/commercial-bin-collections/</t>
        </is>
      </c>
      <c r="B39" s="12" t="inlineStr">
        <is>
          <t>Service</t>
        </is>
      </c>
      <c r="C39" s="12" t="inlineStr">
        <is>
          <t>OPTIMISE</t>
        </is>
      </c>
      <c r="D39" s="14" t="inlineStr">
        <is>
          <t>MEDIUM</t>
        </is>
      </c>
      <c r="E39" s="12">
        <f>COUNTIF('Opportunities'!$D$2:$D$143,$A39)</f>
        <v/>
      </c>
      <c r="F39" s="12">
        <f>SUMIF('Opportunities'!$D$2:$D$143,$A39,'Opportunities'!$H$2:$H$143)</f>
        <v/>
      </c>
      <c r="G39" s="12">
        <f>COUNTIFS('Opportunities'!$D$2:$D$143,$A39,'Opportunities'!$J$2:$J$143,"&gt;0")</f>
        <v/>
      </c>
      <c r="H39" s="12" t="n">
        <v>54</v>
      </c>
    </row>
    <row r="40">
      <c r="A40" s="7" t="inlineStr">
        <is>
          <t>https://betterwaste.co.uk/commercial-waste-collection/</t>
        </is>
      </c>
      <c r="B40" s="12" t="inlineStr">
        <is>
          <t>Gap vs competitors</t>
        </is>
      </c>
      <c r="C40" s="12" t="inlineStr">
        <is>
          <t>OPTIMISE</t>
        </is>
      </c>
      <c r="D40" s="14" t="inlineStr">
        <is>
          <t>MEDIUM</t>
        </is>
      </c>
      <c r="E40" s="12">
        <f>COUNTIF('Opportunities'!$D$2:$D$143,$A40)</f>
        <v/>
      </c>
      <c r="F40" s="12">
        <f>SUMIF('Opportunities'!$D$2:$D$143,$A40,'Opportunities'!$H$2:$H$143)</f>
        <v/>
      </c>
      <c r="G40" s="12">
        <f>COUNTIFS('Opportunities'!$D$2:$D$143,$A40,'Opportunities'!$J$2:$J$143,"&gt;0")</f>
        <v/>
      </c>
      <c r="H40" s="12" t="n">
        <v>54</v>
      </c>
    </row>
    <row r="41">
      <c r="A41" s="7" t="inlineStr">
        <is>
          <t>https://betterwaste.co.uk/construction-waste/</t>
        </is>
      </c>
      <c r="B41" s="12" t="inlineStr">
        <is>
          <t>Waste Type</t>
        </is>
      </c>
      <c r="C41" s="12" t="inlineStr">
        <is>
          <t>CREATE</t>
        </is>
      </c>
      <c r="D41" s="14" t="inlineStr">
        <is>
          <t>MEDIUM</t>
        </is>
      </c>
      <c r="E41" s="12">
        <f>COUNTIF('Opportunities'!$D$2:$D$143,$A41)</f>
        <v/>
      </c>
      <c r="F41" s="12">
        <f>SUMIF('Opportunities'!$D$2:$D$143,$A41,'Opportunities'!$H$2:$H$143)</f>
        <v/>
      </c>
      <c r="G41" s="12">
        <f>COUNTIFS('Opportunities'!$D$2:$D$143,$A41,'Opportunities'!$J$2:$J$143,"&gt;0")</f>
        <v/>
      </c>
      <c r="H41" s="12" t="inlineStr">
        <is>
          <t>-</t>
        </is>
      </c>
    </row>
    <row r="42">
      <c r="A42" s="7" t="inlineStr">
        <is>
          <t>https://betterwaste.co.uk/dental-waste-disposal/</t>
        </is>
      </c>
      <c r="B42" s="12" t="inlineStr">
        <is>
          <t>Sector</t>
        </is>
      </c>
      <c r="C42" s="12" t="inlineStr">
        <is>
          <t>CREATE</t>
        </is>
      </c>
      <c r="D42" s="14" t="inlineStr">
        <is>
          <t>MEDIUM</t>
        </is>
      </c>
      <c r="E42" s="12">
        <f>COUNTIF('Opportunities'!$D$2:$D$143,$A42)</f>
        <v/>
      </c>
      <c r="F42" s="12">
        <f>SUMIF('Opportunities'!$D$2:$D$143,$A42,'Opportunities'!$H$2:$H$143)</f>
        <v/>
      </c>
      <c r="G42" s="12">
        <f>COUNTIFS('Opportunities'!$D$2:$D$143,$A42,'Opportunities'!$J$2:$J$143,"&gt;0")</f>
        <v/>
      </c>
      <c r="H42" s="12" t="inlineStr">
        <is>
          <t>-</t>
        </is>
      </c>
    </row>
    <row r="43">
      <c r="A43" s="7" t="inlineStr">
        <is>
          <t>https://betterwaste.co.uk/food-waste/</t>
        </is>
      </c>
      <c r="B43" s="12" t="inlineStr">
        <is>
          <t>Waste Type</t>
        </is>
      </c>
      <c r="C43" s="12" t="inlineStr">
        <is>
          <t>OPTIMISE</t>
        </is>
      </c>
      <c r="D43" s="14" t="inlineStr">
        <is>
          <t>MEDIUM</t>
        </is>
      </c>
      <c r="E43" s="12">
        <f>COUNTIF('Opportunities'!$D$2:$D$143,$A43)</f>
        <v/>
      </c>
      <c r="F43" s="12">
        <f>SUMIF('Opportunities'!$D$2:$D$143,$A43,'Opportunities'!$H$2:$H$143)</f>
        <v/>
      </c>
      <c r="G43" s="12">
        <f>COUNTIFS('Opportunities'!$D$2:$D$143,$A43,'Opportunities'!$J$2:$J$143,"&gt;0")</f>
        <v/>
      </c>
      <c r="H43" s="12" t="n">
        <v>37</v>
      </c>
    </row>
    <row r="44">
      <c r="A44" s="7" t="inlineStr">
        <is>
          <t>https://betterwaste.co.uk/glass-waste/</t>
        </is>
      </c>
      <c r="B44" s="12" t="inlineStr">
        <is>
          <t>Waste Type</t>
        </is>
      </c>
      <c r="C44" s="12" t="inlineStr">
        <is>
          <t>OPTIMISE</t>
        </is>
      </c>
      <c r="D44" s="14" t="inlineStr">
        <is>
          <t>MEDIUM</t>
        </is>
      </c>
      <c r="E44" s="12">
        <f>COUNTIF('Opportunities'!$D$2:$D$143,$A44)</f>
        <v/>
      </c>
      <c r="F44" s="12">
        <f>SUMIF('Opportunities'!$D$2:$D$143,$A44,'Opportunities'!$H$2:$H$143)</f>
        <v/>
      </c>
      <c r="G44" s="12">
        <f>COUNTIFS('Opportunities'!$D$2:$D$143,$A44,'Opportunities'!$J$2:$J$143,"&gt;0")</f>
        <v/>
      </c>
      <c r="H44" s="12" t="n">
        <v>30</v>
      </c>
    </row>
    <row r="45">
      <c r="A45" s="7" t="inlineStr">
        <is>
          <t>https://betterwaste.co.uk/hotel-waste-disposal/</t>
        </is>
      </c>
      <c r="B45" s="12" t="inlineStr">
        <is>
          <t>Sector</t>
        </is>
      </c>
      <c r="C45" s="12" t="inlineStr">
        <is>
          <t>OPTIMISE</t>
        </is>
      </c>
      <c r="D45" s="14" t="inlineStr">
        <is>
          <t>MEDIUM</t>
        </is>
      </c>
      <c r="E45" s="12">
        <f>COUNTIF('Opportunities'!$D$2:$D$143,$A45)</f>
        <v/>
      </c>
      <c r="F45" s="12">
        <f>SUMIF('Opportunities'!$D$2:$D$143,$A45,'Opportunities'!$H$2:$H$143)</f>
        <v/>
      </c>
      <c r="G45" s="12">
        <f>COUNTIFS('Opportunities'!$D$2:$D$143,$A45,'Opportunities'!$J$2:$J$143,"&gt;0")</f>
        <v/>
      </c>
      <c r="H45" s="12" t="inlineStr">
        <is>
          <t>-</t>
        </is>
      </c>
    </row>
    <row r="46">
      <c r="A46" s="7" t="inlineStr">
        <is>
          <t>https://betterwaste.co.uk/industrial-waste/</t>
        </is>
      </c>
      <c r="B46" s="12" t="inlineStr">
        <is>
          <t>Waste Type</t>
        </is>
      </c>
      <c r="C46" s="12" t="inlineStr">
        <is>
          <t>CREATE</t>
        </is>
      </c>
      <c r="D46" s="14" t="inlineStr">
        <is>
          <t>MEDIUM</t>
        </is>
      </c>
      <c r="E46" s="12">
        <f>COUNTIF('Opportunities'!$D$2:$D$143,$A46)</f>
        <v/>
      </c>
      <c r="F46" s="12">
        <f>SUMIF('Opportunities'!$D$2:$D$143,$A46,'Opportunities'!$H$2:$H$143)</f>
        <v/>
      </c>
      <c r="G46" s="12">
        <f>COUNTIFS('Opportunities'!$D$2:$D$143,$A46,'Opportunities'!$J$2:$J$143,"&gt;0")</f>
        <v/>
      </c>
      <c r="H46" s="12" t="inlineStr">
        <is>
          <t>-</t>
        </is>
      </c>
    </row>
    <row r="47">
      <c r="A47" s="7" t="inlineStr">
        <is>
          <t>https://betterwaste.co.uk/maggots-in-bins-how-to-stop-pests-in-commercial-waste/</t>
        </is>
      </c>
      <c r="B47" s="12" t="inlineStr">
        <is>
          <t>Gap vs competitors</t>
        </is>
      </c>
      <c r="C47" s="12" t="inlineStr">
        <is>
          <t>OPTIMISE</t>
        </is>
      </c>
      <c r="D47" s="14" t="inlineStr">
        <is>
          <t>MEDIUM</t>
        </is>
      </c>
      <c r="E47" s="12">
        <f>COUNTIF('Opportunities'!$D$2:$D$143,$A47)</f>
        <v/>
      </c>
      <c r="F47" s="12">
        <f>SUMIF('Opportunities'!$D$2:$D$143,$A47,'Opportunities'!$H$2:$H$143)</f>
        <v/>
      </c>
      <c r="G47" s="12">
        <f>COUNTIFS('Opportunities'!$D$2:$D$143,$A47,'Opportunities'!$J$2:$J$143,"&gt;0")</f>
        <v/>
      </c>
      <c r="H47" s="12" t="inlineStr">
        <is>
          <t>-</t>
        </is>
      </c>
    </row>
    <row r="48">
      <c r="A48" s="7" t="inlineStr">
        <is>
          <t>https://betterwaste.co.uk/school-waste-management/</t>
        </is>
      </c>
      <c r="B48" s="12" t="inlineStr">
        <is>
          <t>Sector</t>
        </is>
      </c>
      <c r="C48" s="12" t="inlineStr">
        <is>
          <t>OPTIMISE</t>
        </is>
      </c>
      <c r="D48" s="14" t="inlineStr">
        <is>
          <t>MEDIUM</t>
        </is>
      </c>
      <c r="E48" s="12">
        <f>COUNTIF('Opportunities'!$D$2:$D$143,$A48)</f>
        <v/>
      </c>
      <c r="F48" s="12">
        <f>SUMIF('Opportunities'!$D$2:$D$143,$A48,'Opportunities'!$H$2:$H$143)</f>
        <v/>
      </c>
      <c r="G48" s="12">
        <f>COUNTIFS('Opportunities'!$D$2:$D$143,$A48,'Opportunities'!$J$2:$J$143,"&gt;0")</f>
        <v/>
      </c>
      <c r="H48" s="12" t="inlineStr">
        <is>
          <t>-</t>
        </is>
      </c>
    </row>
    <row r="49">
      <c r="A49" s="7" t="inlineStr">
        <is>
          <t>https://betterwaste.co.uk/coffee-cup-recycling/</t>
        </is>
      </c>
      <c r="B49" s="12" t="inlineStr">
        <is>
          <t>Waste Type</t>
        </is>
      </c>
      <c r="C49" s="12" t="inlineStr">
        <is>
          <t>CREATE</t>
        </is>
      </c>
      <c r="D49" s="15" t="inlineStr">
        <is>
          <t>HARD</t>
        </is>
      </c>
      <c r="E49" s="12">
        <f>COUNTIF('Opportunities'!$D$2:$D$143,$A49)</f>
        <v/>
      </c>
      <c r="F49" s="12">
        <f>SUMIF('Opportunities'!$D$2:$D$143,$A49,'Opportunities'!$H$2:$H$143)</f>
        <v/>
      </c>
      <c r="G49" s="12">
        <f>COUNTIFS('Opportunities'!$D$2:$D$143,$A49,'Opportunities'!$J$2:$J$143,"&gt;0")</f>
        <v/>
      </c>
      <c r="H49" s="12" t="inlineStr">
        <is>
          <t>-</t>
        </is>
      </c>
    </row>
    <row r="50">
      <c r="A50" s="7" t="inlineStr">
        <is>
          <t>https://betterwaste.co.uk/environmental-protection-act/</t>
        </is>
      </c>
      <c r="B50" s="12" t="inlineStr">
        <is>
          <t>Gap vs competitors</t>
        </is>
      </c>
      <c r="C50" s="12" t="inlineStr">
        <is>
          <t>CREATE</t>
        </is>
      </c>
      <c r="D50" s="15" t="inlineStr">
        <is>
          <t>HARD</t>
        </is>
      </c>
      <c r="E50" s="12">
        <f>COUNTIF('Opportunities'!$D$2:$D$143,$A50)</f>
        <v/>
      </c>
      <c r="F50" s="12">
        <f>SUMIF('Opportunities'!$D$2:$D$143,$A50,'Opportunities'!$H$2:$H$143)</f>
        <v/>
      </c>
      <c r="G50" s="12">
        <f>COUNTIFS('Opportunities'!$D$2:$D$143,$A50,'Opportunities'!$J$2:$J$143,"&gt;0")</f>
        <v/>
      </c>
      <c r="H50" s="12" t="inlineStr">
        <is>
          <t>-</t>
        </is>
      </c>
    </row>
    <row r="51">
      <c r="A51" s="7" t="inlineStr">
        <is>
          <t>https://betterwaste.co.uk/extended-producer-responsibility/</t>
        </is>
      </c>
      <c r="B51" s="12" t="inlineStr">
        <is>
          <t>Informational</t>
        </is>
      </c>
      <c r="C51" s="12" t="inlineStr">
        <is>
          <t>CREATE</t>
        </is>
      </c>
      <c r="D51" s="15" t="inlineStr">
        <is>
          <t>HARD</t>
        </is>
      </c>
      <c r="E51" s="12">
        <f>COUNTIF('Opportunities'!$D$2:$D$143,$A51)</f>
        <v/>
      </c>
      <c r="F51" s="12">
        <f>SUMIF('Opportunities'!$D$2:$D$143,$A51,'Opportunities'!$H$2:$H$143)</f>
        <v/>
      </c>
      <c r="G51" s="12">
        <f>COUNTIFS('Opportunities'!$D$2:$D$143,$A51,'Opportunities'!$J$2:$J$143,"&gt;0")</f>
        <v/>
      </c>
      <c r="H51" s="12" t="inlineStr">
        <is>
          <t>-</t>
        </is>
      </c>
    </row>
    <row r="52">
      <c r="A52" s="7" t="inlineStr">
        <is>
          <t>https://betterwaste.co.uk/simpler-recycling-legislation-for-businesses-in-england-what-you-need-to-know/</t>
        </is>
      </c>
      <c r="B52" s="12" t="inlineStr">
        <is>
          <t>Gap vs competitors</t>
        </is>
      </c>
      <c r="C52" s="12" t="inlineStr">
        <is>
          <t>OPTIMISE</t>
        </is>
      </c>
      <c r="D52" s="15" t="inlineStr">
        <is>
          <t>HARD</t>
        </is>
      </c>
      <c r="E52" s="12">
        <f>COUNTIF('Opportunities'!$D$2:$D$143,$A52)</f>
        <v/>
      </c>
      <c r="F52" s="12">
        <f>SUMIF('Opportunities'!$D$2:$D$143,$A52,'Opportunities'!$H$2:$H$143)</f>
        <v/>
      </c>
      <c r="G52" s="12">
        <f>COUNTIFS('Opportunities'!$D$2:$D$143,$A52,'Opportunities'!$J$2:$J$143,"&gt;0")</f>
        <v/>
      </c>
      <c r="H52" s="12" t="n">
        <v>14</v>
      </c>
    </row>
    <row r="53">
      <c r="A53" s="7" t="inlineStr">
        <is>
          <t>https://betterwaste.co.uk/waste-carriers-licence/</t>
        </is>
      </c>
      <c r="B53" s="12" t="inlineStr">
        <is>
          <t>Informational</t>
        </is>
      </c>
      <c r="C53" s="12" t="inlineStr">
        <is>
          <t>CREATE</t>
        </is>
      </c>
      <c r="D53" s="15" t="inlineStr">
        <is>
          <t>HARD</t>
        </is>
      </c>
      <c r="E53" s="12">
        <f>COUNTIF('Opportunities'!$D$2:$D$143,$A53)</f>
        <v/>
      </c>
      <c r="F53" s="12">
        <f>SUMIF('Opportunities'!$D$2:$D$143,$A53,'Opportunities'!$H$2:$H$143)</f>
        <v/>
      </c>
      <c r="G53" s="12">
        <f>COUNTIFS('Opportunities'!$D$2:$D$143,$A53,'Opportunities'!$J$2:$J$143,"&gt;0")</f>
        <v/>
      </c>
      <c r="H53" s="12" t="inlineStr">
        <is>
          <t>-</t>
        </is>
      </c>
    </row>
    <row r="54">
      <c r="A54" s="7" t="inlineStr">
        <is>
          <t>https://betterwaste.co.uk/waste-transfer-note/</t>
        </is>
      </c>
      <c r="B54" s="12" t="inlineStr">
        <is>
          <t>Informational</t>
        </is>
      </c>
      <c r="C54" s="12" t="inlineStr">
        <is>
          <t>CREATE</t>
        </is>
      </c>
      <c r="D54" s="15" t="inlineStr">
        <is>
          <t>HARD</t>
        </is>
      </c>
      <c r="E54" s="12">
        <f>COUNTIF('Opportunities'!$D$2:$D$143,$A54)</f>
        <v/>
      </c>
      <c r="F54" s="12">
        <f>SUMIF('Opportunities'!$D$2:$D$143,$A54,'Opportunities'!$H$2:$H$143)</f>
        <v/>
      </c>
      <c r="G54" s="12">
        <f>COUNTIFS('Opportunities'!$D$2:$D$143,$A54,'Opportunities'!$J$2:$J$143,"&gt;0")</f>
        <v/>
      </c>
      <c r="H54" s="12" t="inlineStr">
        <is>
          <t>-</t>
        </is>
      </c>
    </row>
    <row r="55">
      <c r="A55" s="7" t="inlineStr">
        <is>
          <t>https://betterwaste.co.uk/weee-recycling/</t>
        </is>
      </c>
      <c r="B55" s="12" t="inlineStr">
        <is>
          <t>Gap vs competitors</t>
        </is>
      </c>
      <c r="C55" s="12" t="inlineStr">
        <is>
          <t>CREATE</t>
        </is>
      </c>
      <c r="D55" s="15" t="inlineStr">
        <is>
          <t>HARD</t>
        </is>
      </c>
      <c r="E55" s="12">
        <f>COUNTIF('Opportunities'!$D$2:$D$143,$A55)</f>
        <v/>
      </c>
      <c r="F55" s="12">
        <f>SUMIF('Opportunities'!$D$2:$D$143,$A55,'Opportunities'!$H$2:$H$143)</f>
        <v/>
      </c>
      <c r="G55" s="12">
        <f>COUNTIFS('Opportunities'!$D$2:$D$143,$A55,'Opportunities'!$J$2:$J$143,"&gt;0")</f>
        <v/>
      </c>
      <c r="H55" s="12" t="inlineStr">
        <is>
          <t>-</t>
        </is>
      </c>
    </row>
    <row r="56">
      <c r="A56" s="7" t="inlineStr">
        <is>
          <t>https://betterwaste.co.uk/bins/fel-container/</t>
        </is>
      </c>
      <c r="B56" s="12" t="inlineStr">
        <is>
          <t>Informational</t>
        </is>
      </c>
      <c r="C56" s="12" t="inlineStr">
        <is>
          <t>OPTIMISE</t>
        </is>
      </c>
      <c r="D56" s="16" t="inlineStr">
        <is>
          <t>AVOID</t>
        </is>
      </c>
      <c r="E56" s="12">
        <f>COUNTIF('Opportunities'!$D$2:$D$143,$A56)</f>
        <v/>
      </c>
      <c r="F56" s="12">
        <f>SUMIF('Opportunities'!$D$2:$D$143,$A56,'Opportunities'!$H$2:$H$143)</f>
        <v/>
      </c>
      <c r="G56" s="12">
        <f>COUNTIFS('Opportunities'!$D$2:$D$143,$A56,'Opportunities'!$J$2:$J$143,"&gt;0")</f>
        <v/>
      </c>
      <c r="H56" s="12" t="inlineStr">
        <is>
          <t>-</t>
        </is>
      </c>
    </row>
    <row r="57">
      <c r="A57" s="7" t="inlineStr">
        <is>
          <t>https://betterwaste.co.uk/hazardous-waste/</t>
        </is>
      </c>
      <c r="B57" s="12" t="inlineStr">
        <is>
          <t>Waste Type</t>
        </is>
      </c>
      <c r="C57" s="12" t="inlineStr">
        <is>
          <t>CREATE</t>
        </is>
      </c>
      <c r="D57" s="16" t="inlineStr">
        <is>
          <t>AVOID</t>
        </is>
      </c>
      <c r="E57" s="12">
        <f>COUNTIF('Opportunities'!$D$2:$D$143,$A57)</f>
        <v/>
      </c>
      <c r="F57" s="12">
        <f>SUMIF('Opportunities'!$D$2:$D$143,$A57,'Opportunities'!$H$2:$H$143)</f>
        <v/>
      </c>
      <c r="G57" s="12">
        <f>COUNTIFS('Opportunities'!$D$2:$D$143,$A57,'Opportunities'!$J$2:$J$143,"&gt;0")</f>
        <v/>
      </c>
      <c r="H57" s="12" t="inlineStr">
        <is>
          <t>-</t>
        </is>
      </c>
    </row>
    <row r="58">
      <c r="A58" s="7" t="inlineStr">
        <is>
          <t>n/a</t>
        </is>
      </c>
      <c r="B58" s="12" t="inlineStr">
        <is>
          <t>Waste Type</t>
        </is>
      </c>
      <c r="C58" s="12" t="inlineStr">
        <is>
          <t>EXCLUDE</t>
        </is>
      </c>
      <c r="D58" s="16" t="inlineStr">
        <is>
          <t>AVOID</t>
        </is>
      </c>
      <c r="E58" s="12">
        <f>COUNTIF('Opportunities'!$D$2:$D$143,$A58)</f>
        <v/>
      </c>
      <c r="F58" s="12">
        <f>SUMIF('Opportunities'!$D$2:$D$143,$A58,'Opportunities'!$H$2:$H$143)</f>
        <v/>
      </c>
      <c r="G58" s="12">
        <f>COUNTIFS('Opportunities'!$D$2:$D$143,$A58,'Opportunities'!$J$2:$J$143,"&gt;0")</f>
        <v/>
      </c>
      <c r="H58" s="12" t="inlineStr">
        <is>
          <t>-</t>
        </is>
      </c>
    </row>
    <row r="60">
      <c r="A60" s="2" t="inlineStr">
        <is>
          <t>TOTAL</t>
        </is>
      </c>
      <c r="E60" s="2">
        <f>SUM(E2:E58)</f>
        <v/>
      </c>
      <c r="F60" s="2">
        <f>SUM(F2:F58)</f>
        <v/>
      </c>
      <c r="G60" s="2">
        <f>SUM(G2:G58)</f>
        <v/>
      </c>
    </row>
  </sheetData>
  <autoFilter ref="A1:H5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7" customWidth="1" min="2" max="2"/>
    <col width="40" customWidth="1" min="3" max="3"/>
    <col width="76" customWidth="1" min="4" max="4"/>
    <col width="40" customWidth="1" min="5" max="5"/>
    <col width="56" customWidth="1" min="6" max="6"/>
  </cols>
  <sheetData>
    <row r="1" ht="30" customHeight="1">
      <c r="A1" s="5" t="inlineStr">
        <is>
          <t>Priority</t>
        </is>
      </c>
      <c r="B1" s="5" t="inlineStr">
        <is>
          <t>Type</t>
        </is>
      </c>
      <c r="C1" s="5" t="inlineStr">
        <is>
          <t>Issue</t>
        </is>
      </c>
      <c r="D1" s="5" t="inlineStr">
        <is>
          <t>Evidence</t>
        </is>
      </c>
      <c r="E1" s="5" t="inlineStr">
        <is>
          <t>Impact</t>
        </is>
      </c>
      <c r="F1" s="5" t="inlineStr">
        <is>
          <t>Action</t>
        </is>
      </c>
    </row>
    <row r="2">
      <c r="A2" s="17" t="inlineStr">
        <is>
          <t>P1</t>
        </is>
      </c>
      <c r="B2" s="7" t="inlineStr">
        <is>
          <t>Redirect</t>
        </is>
      </c>
      <c r="C2" s="7" t="inlineStr">
        <is>
          <t>Manchester/London/Birmingham city pages: the "new" URLs 301 while the "-old" URLs serve 200</t>
        </is>
      </c>
      <c r="D2" s="7" t="inlineStr">
        <is>
          <t>Crawl index: /areas-we-cover-old/manchester|london|birmingham/ all return 200; /areas-we-cover/manchester|london|birmingham/ all return 301. The -old pages hold the rankings because they are the only ones resolving</t>
        </is>
      </c>
      <c r="E2" s="7" t="inlineStr">
        <is>
          <t>~3,000 SV of Manchester terms sitting on a deprecated URL</t>
        </is>
      </c>
      <c r="F2" s="7" t="inlineStr">
        <is>
          <t>VERIFY FIRST where the three 301s point, then either rename the -old URLs as canonical or fix the redirect. Do NOT blindly 301 old-&gt;new: that risks a loop</t>
        </is>
      </c>
    </row>
    <row r="3">
      <c r="A3" s="17" t="inlineStr">
        <is>
          <t>P1</t>
        </is>
      </c>
      <c r="B3" s="7" t="inlineStr">
        <is>
          <t>Canonicalisation</t>
        </is>
      </c>
      <c r="C3" s="7" t="inlineStr">
        <is>
          <t>www and non-www both indexed</t>
        </is>
      </c>
      <c r="D3" s="7" t="inlineStr">
        <is>
          <t>Ahrefs returns both betterwaste.co.uk/polystyrene-and-recycling/ and www.betterwaste.co.uk/polystyrene-and-recycling as separate ranking URLs; same for /business-waste-collections</t>
        </is>
      </c>
      <c r="E3" s="7" t="inlineStr">
        <is>
          <t>Link equity and ranking signals split across two hostnames</t>
        </is>
      </c>
      <c r="F3" s="7" t="inlineStr">
        <is>
          <t>Enforce one hostname via 301 + canonical + GSC property</t>
        </is>
      </c>
    </row>
    <row r="4">
      <c r="A4" s="17" t="inlineStr">
        <is>
          <t>P1</t>
        </is>
      </c>
      <c r="B4" s="7" t="inlineStr">
        <is>
          <t>Cannibalisation</t>
        </is>
      </c>
      <c r="C4" s="7" t="inlineStr">
        <is>
          <t>Two pages competing for the core money term</t>
        </is>
      </c>
      <c r="D4" s="7" t="inlineStr">
        <is>
          <t>business waste collection (2400 SV) ranks with /business-waste-collections/ at p26 AND /commercial-waste-management/ at p34</t>
        </is>
      </c>
      <c r="E4" s="7" t="inlineStr">
        <is>
          <t>Neither page reaches top 20</t>
        </is>
      </c>
      <c r="F4" s="7" t="inlineStr">
        <is>
          <t>Consolidate into one canonical money page; 301 the other</t>
        </is>
      </c>
    </row>
    <row r="5">
      <c r="A5" s="17" t="inlineStr">
        <is>
          <t>P1</t>
        </is>
      </c>
      <c r="B5" s="7" t="inlineStr">
        <is>
          <t>Content refresh</t>
        </is>
      </c>
      <c r="C5" s="7" t="inlineStr">
        <is>
          <t>Simpler Recycling page stuck just outside top 10</t>
        </is>
      </c>
      <c r="D5" s="7" t="inlineStr">
        <is>
          <t>simpler recycling (1000 SV / KD 22) at p14 on /simpler-recycling-legislation-for-businesses-in-england-what-you-need-to-know/</t>
        </is>
      </c>
      <c r="E5" s="7" t="inlineStr">
        <is>
          <t>Cheapest available win on the site</t>
        </is>
      </c>
      <c r="F5" s="7" t="inlineStr">
        <is>
          <t>Refresh content + internal links; target top 10</t>
        </is>
      </c>
    </row>
    <row r="6">
      <c r="A6" s="17" t="inlineStr">
        <is>
          <t>P1</t>
        </is>
      </c>
      <c r="B6" s="7" t="inlineStr">
        <is>
          <t>Sheet mapping</t>
        </is>
      </c>
      <c r="C6" s="7" t="inlineStr">
        <is>
          <t>Glass keywords mapped to the wrong page block</t>
        </is>
      </c>
      <c r="D6" s="7" t="inlineStr">
        <is>
          <t>Sheet rows 43-51 (glass waste terms) sit inside the /food-waste/ block; a live /glass-waste/ page already ranks p30-38 for them</t>
        </is>
      </c>
      <c r="E6" s="7" t="inlineStr">
        <is>
          <t>Mapping sheet misdirects the work</t>
        </is>
      </c>
      <c r="F6" s="7" t="inlineStr">
        <is>
          <t>Re-map all glass terms to /glass-waste/</t>
        </is>
      </c>
    </row>
    <row r="7">
      <c r="A7" s="7" t="inlineStr">
        <is>
          <t>P2</t>
        </is>
      </c>
      <c r="B7" s="7" t="inlineStr">
        <is>
          <t>Page mapping</t>
        </is>
      </c>
      <c r="C7" s="7" t="inlineStr">
        <is>
          <t>Location hub ranking for national service terms</t>
        </is>
      </c>
      <c r="D7" s="7" t="inlineStr">
        <is>
          <t>/areas-we-cover/ ranks for business refuse collection p5 (590 SV) + waste collection for business p59 + commercial waste services p54 + industrial waste collection p83 + waste disposal companies p63</t>
        </is>
      </c>
      <c r="E7" s="7" t="inlineStr">
        <is>
          <t>Wrong page type for commercial head terms; caps conversion</t>
        </is>
      </c>
      <c r="F7" s="7" t="inlineStr">
        <is>
          <t>Build the national /commercial-waste-collection/ page and de-optimise the hub</t>
        </is>
      </c>
    </row>
    <row r="8">
      <c r="A8" s="7" t="inlineStr">
        <is>
          <t>P2</t>
        </is>
      </c>
      <c r="B8" s="7" t="inlineStr">
        <is>
          <t>Cannibalisation</t>
        </is>
      </c>
      <c r="C8" s="7" t="inlineStr">
        <is>
          <t>Blog post and service page competing</t>
        </is>
      </c>
      <c r="D8" s="7" t="inlineStr">
        <is>
          <t>commercial waste management companies ranks with the top-10 blog at p7 AND /business-waste-collections/ at p90</t>
        </is>
      </c>
      <c r="E8" s="7" t="inlineStr">
        <is>
          <t>Service page suppressed by the blog</t>
        </is>
      </c>
      <c r="F8" s="7" t="inlineStr">
        <is>
          <t>Differentiate intent; internal-link blog to the service page</t>
        </is>
      </c>
    </row>
    <row r="9">
      <c r="A9" s="7" t="inlineStr">
        <is>
          <t>P2</t>
        </is>
      </c>
      <c r="B9" s="7" t="inlineStr">
        <is>
          <t>Internal linking</t>
        </is>
      </c>
      <c r="C9" s="7" t="inlineStr">
        <is>
          <t>Strongest page not passing equity to money pages</t>
        </is>
      </c>
      <c r="D9" s="7" t="inlineStr">
        <is>
          <t>/top-10-commercial-waste-management-companies-in-the-uk/ ranks 4-8 for ~20 head terms and is the site's top organic asset but is a competitor listicle</t>
        </is>
      </c>
      <c r="E9" s="7" t="inlineStr">
        <is>
          <t>Highest-authority page sends no equity to commercial pages, and names competitors to in-market users</t>
        </is>
      </c>
      <c r="F9" s="7" t="inlineStr">
        <is>
          <t>Add prominent internal links to the new commercial waste page</t>
        </is>
      </c>
    </row>
    <row r="10">
      <c r="A10" s="7" t="inlineStr">
        <is>
          <t>P2</t>
        </is>
      </c>
      <c r="B10" s="7" t="inlineStr">
        <is>
          <t>Duplicate ranking</t>
        </is>
      </c>
      <c r="C10" s="7" t="inlineStr">
        <is>
          <t>Several keywords returning two URLs from the same site</t>
        </is>
      </c>
      <c r="D10" s="7" t="inlineStr">
        <is>
          <t>business waste birmingham p19 and p26; commercial waste clearance birmingham p40 and p41; expanded polystyrene recycling p65 and p66; waste management companies london p29 and p32; zero waste to landfill p54 and p60; aluminium recycling p18 and p24</t>
        </is>
      </c>
      <c r="E10" s="7" t="inlineStr">
        <is>
          <t>Diluted signals across near-duplicate pages</t>
        </is>
      </c>
      <c r="F10" s="7" t="inlineStr">
        <is>
          <t>Audit for duplicate/paginated variants and consolidate</t>
        </is>
      </c>
    </row>
    <row r="11">
      <c r="A11" s="7" t="inlineStr">
        <is>
          <t>P3</t>
        </is>
      </c>
      <c r="B11" s="7" t="inlineStr">
        <is>
          <t>Data hygiene</t>
        </is>
      </c>
      <c r="C11" s="7" t="inlineStr">
        <is>
          <t>Sheet volumes materially out of date vs Semrush</t>
        </is>
      </c>
      <c r="D11" s="7" t="inlineStr">
        <is>
          <t>dry mixed recycling bins listed 320, Semrush 1000; commercial cardboard waste listed 110, Semrush 480; commercial food waste disposal listed 210, Semrush 480</t>
        </is>
      </c>
      <c r="E11" s="7" t="inlineStr">
        <is>
          <t>Prioritisation in the sheet is based on stale volumes</t>
        </is>
      </c>
      <c r="F11" s="7" t="inlineStr">
        <is>
          <t>Refresh all SV in the mapping sheet from Semrush UK</t>
        </is>
      </c>
    </row>
    <row r="12">
      <c r="A12" s="17" t="inlineStr">
        <is>
          <t>P1</t>
        </is>
      </c>
      <c r="B12" s="7" t="inlineStr">
        <is>
          <t>Cannibalisation</t>
        </is>
      </c>
      <c r="C12" s="7" t="inlineStr">
        <is>
          <t>Four live pages target overlapping commercial head terms</t>
        </is>
      </c>
      <c r="D12" s="7" t="inlineStr">
        <is>
          <t>/commercial-waste-collection/, /commercial-waste-management/, /business-waste-collections/ and /trade-waste-collections/ all return 200 and all target Cluster A terms</t>
        </is>
      </c>
      <c r="E12" s="7" t="inlineStr">
        <is>
          <t>Head terms split across four pages; none ranks</t>
        </is>
      </c>
      <c r="F12" s="7" t="inlineStr">
        <is>
          <t>Pick one canonical money page, 301 or de-optimise the other three</t>
        </is>
      </c>
    </row>
    <row r="13">
      <c r="A13" s="7" t="inlineStr">
        <is>
          <t>P2</t>
        </is>
      </c>
      <c r="B13" s="7" t="inlineStr">
        <is>
          <t>Duplicate content</t>
        </is>
      </c>
      <c r="C13" s="7" t="inlineStr">
        <is>
          <t>Two live clinical/healthcare waste pages</t>
        </is>
      </c>
      <c r="D13" s="7" t="inlineStr">
        <is>
          <t>/clinical-waste-disposal-clinical-waste-collection-companies/ and /healthcare-waste/ both return 200</t>
        </is>
      </c>
      <c r="E13" s="7" t="inlineStr">
        <is>
          <t>Two pages competing on the same service</t>
        </is>
      </c>
      <c r="F13" s="7" t="inlineStr">
        <is>
          <t>Consolidate into one, re-point at commercial entry terms not the household head terms</t>
        </is>
      </c>
    </row>
    <row r="14">
      <c r="A14" s="7" t="inlineStr">
        <is>
          <t>P2</t>
        </is>
      </c>
      <c r="B14" s="7" t="inlineStr">
        <is>
          <t>Index bloat</t>
        </is>
      </c>
      <c r="C14" s="7" t="inlineStr">
        <is>
          <t>Test, duplicate and thank-you pages indexable</t>
        </is>
      </c>
      <c r="D14" s="7" t="inlineStr">
        <is>
          <t>/222-2/, /test-2/, /home/, /thank-you/, /thank-you-2/, /trial-form/, /quote2-old/, /quote-commercial-waste-old/, /quote-waste-services-old/ all return 200, plus /quote2/ with six indexable ?slink= variants</t>
        </is>
      </c>
      <c r="E14" s="7" t="inlineStr">
        <is>
          <t>Crawl budget and quality signals</t>
        </is>
      </c>
      <c r="F14" s="7" t="inlineStr">
        <is>
          <t>noindex or remove; add parameter handling for ?slink=</t>
        </is>
      </c>
    </row>
    <row r="15">
      <c r="A15" s="7" t="inlineStr">
        <is>
          <t>P2</t>
        </is>
      </c>
      <c r="B15" s="7" t="inlineStr">
        <is>
          <t>Duplicate URLs</t>
        </is>
      </c>
      <c r="C15" s="7" t="inlineStr">
        <is>
          <t>Trailing-slash and non-slash both serve 200</t>
        </is>
      </c>
      <c r="D15" s="7" t="inlineStr">
        <is>
          <t>/about and /about/, /binpedia and /binpedia/, /contact-us and /contact-us/, /blog and /blog/, /faqs and /faqs/, /how-to-be-green and /how-to-be-green/</t>
        </is>
      </c>
      <c r="E15" s="7" t="inlineStr">
        <is>
          <t>Compounds the www / non-www duplication</t>
        </is>
      </c>
      <c r="F15" s="7" t="inlineStr">
        <is>
          <t>Enforce one trailing-slash convention site-wide</t>
        </is>
      </c>
    </row>
    <row r="16">
      <c r="A16" s="7" t="inlineStr">
        <is>
          <t>P3</t>
        </is>
      </c>
      <c r="B16" s="7" t="inlineStr">
        <is>
          <t>Lost pages</t>
        </is>
      </c>
      <c r="C16" s="7" t="inlineStr">
        <is>
          <t>Four former pages now 404 and may hold links</t>
        </is>
      </c>
      <c r="D16" s="7" t="inlineStr">
        <is>
          <t>/better-waste-solutions-birmingham/, /better-waste-solutions-london/, /better-waste-solutions-manchester/, /business-waste-management-yorkshire/</t>
        </is>
      </c>
      <c r="E16" s="7" t="inlineStr">
        <is>
          <t>Any inbound links are being wasted</t>
        </is>
      </c>
      <c r="F16" s="7" t="inlineStr">
        <is>
          <t>Check referring domains for each; 301 the ones with links to the relevant city or service page</t>
        </is>
      </c>
    </row>
  </sheetData>
  <autoFilter ref="A1:F1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6" customWidth="1" min="1" max="1"/>
    <col width="8" customWidth="1" min="2" max="2"/>
    <col width="13" customWidth="1" min="3" max="3"/>
    <col width="72" customWidth="1" min="4" max="4"/>
  </cols>
  <sheetData>
    <row r="1">
      <c r="A1" s="18" t="inlineStr">
        <is>
          <t>URL</t>
        </is>
      </c>
      <c r="B1" s="18" t="inlineStr">
        <is>
          <t>HTTP</t>
        </is>
      </c>
      <c r="C1" s="18" t="inlineStr">
        <is>
          <t>Status</t>
        </is>
      </c>
      <c r="D1" s="18" t="inlineStr">
        <is>
          <t>Note</t>
        </is>
      </c>
    </row>
    <row r="2">
      <c r="A2" s="19" t="inlineStr">
        <is>
          <t>EXISTS — I had scored these as CREATE</t>
        </is>
      </c>
      <c r="B2" s="20" t="n"/>
      <c r="C2" s="20" t="n"/>
      <c r="D2" s="20" t="n"/>
    </row>
    <row r="3">
      <c r="A3" s="7" t="inlineStr">
        <is>
          <t>/commercial-waste-collection/</t>
        </is>
      </c>
      <c r="B3" s="7" t="inlineStr">
        <is>
          <t>200</t>
        </is>
      </c>
      <c r="C3" s="7" t="inlineStr">
        <is>
          <t>Exists</t>
        </is>
      </c>
      <c r="D3" s="7" t="inlineStr">
        <is>
          <t>The page the whole plan was built around. Optimisation, not a build</t>
        </is>
      </c>
    </row>
    <row r="4">
      <c r="A4" s="7" t="inlineStr">
        <is>
          <t>/commercial-bin-collections/</t>
        </is>
      </c>
      <c r="B4" s="7" t="inlineStr">
        <is>
          <t>200</t>
        </is>
      </c>
      <c r="C4" s="7" t="inlineStr">
        <is>
          <t>Exists</t>
        </is>
      </c>
      <c r="D4" s="7" t="inlineStr">
        <is>
          <t>I proposed /commercial-bins/</t>
        </is>
      </c>
    </row>
    <row r="5">
      <c r="A5" s="7" t="inlineStr">
        <is>
          <t>/commercial-food-waste-collections/</t>
        </is>
      </c>
      <c r="B5" s="7" t="inlineStr">
        <is>
          <t>200</t>
        </is>
      </c>
      <c r="C5" s="7" t="inlineStr">
        <is>
          <t>Exists</t>
        </is>
      </c>
      <c r="D5" s="7" t="inlineStr"/>
    </row>
    <row r="6">
      <c r="A6" s="7" t="inlineStr">
        <is>
          <t>/trade-waste-collections/</t>
        </is>
      </c>
      <c r="B6" s="7" t="inlineStr">
        <is>
          <t>200</t>
        </is>
      </c>
      <c r="C6" s="7" t="inlineStr">
        <is>
          <t>Exists</t>
        </is>
      </c>
      <c r="D6" s="7" t="inlineStr"/>
    </row>
    <row r="7">
      <c r="A7" s="7" t="inlineStr">
        <is>
          <t>/office-waste-management/</t>
        </is>
      </c>
      <c r="B7" s="7" t="inlineStr">
        <is>
          <t>200</t>
        </is>
      </c>
      <c r="C7" s="7" t="inlineStr">
        <is>
          <t>Exists</t>
        </is>
      </c>
      <c r="D7" s="7" t="inlineStr"/>
    </row>
    <row r="8">
      <c r="A8" s="7" t="inlineStr">
        <is>
          <t>/retail-waste-management/</t>
        </is>
      </c>
      <c r="B8" s="7" t="inlineStr">
        <is>
          <t>200</t>
        </is>
      </c>
      <c r="C8" s="7" t="inlineStr">
        <is>
          <t>Exists</t>
        </is>
      </c>
      <c r="D8" s="7" t="inlineStr"/>
    </row>
    <row r="9">
      <c r="A9" s="7" t="inlineStr">
        <is>
          <t>/school-waste-management/</t>
        </is>
      </c>
      <c r="B9" s="7" t="inlineStr">
        <is>
          <t>200</t>
        </is>
      </c>
      <c r="C9" s="7" t="inlineStr">
        <is>
          <t>Exists</t>
        </is>
      </c>
      <c r="D9" s="7" t="inlineStr"/>
    </row>
    <row r="10">
      <c r="A10" s="7" t="inlineStr">
        <is>
          <t>/hotel-waste-disposal/</t>
        </is>
      </c>
      <c r="B10" s="7" t="inlineStr">
        <is>
          <t>200</t>
        </is>
      </c>
      <c r="C10" s="7" t="inlineStr">
        <is>
          <t>Exists</t>
        </is>
      </c>
      <c r="D10" s="7" t="inlineStr">
        <is>
          <t>I proposed /hotel-waste-management/</t>
        </is>
      </c>
    </row>
    <row r="11">
      <c r="A11" s="7" t="inlineStr">
        <is>
          <t>/healthcare-waste/</t>
        </is>
      </c>
      <c r="B11" s="7" t="inlineStr">
        <is>
          <t>200</t>
        </is>
      </c>
      <c r="C11" s="7" t="inlineStr">
        <is>
          <t>Exists</t>
        </is>
      </c>
      <c r="D11" s="7" t="inlineStr">
        <is>
          <t>Duplicates the clinical waste page</t>
        </is>
      </c>
    </row>
    <row r="12">
      <c r="A12" s="7" t="inlineStr">
        <is>
          <t>/clinical-waste-disposal-clinical-waste-collection-companies/</t>
        </is>
      </c>
      <c r="B12" s="7" t="inlineStr">
        <is>
          <t>200</t>
        </is>
      </c>
      <c r="C12" s="7" t="inlineStr">
        <is>
          <t>Exists</t>
        </is>
      </c>
      <c r="D12" s="7" t="inlineStr">
        <is>
          <t>AVOID-grade keywords. Re-point at commercial entry terms</t>
        </is>
      </c>
    </row>
    <row r="13">
      <c r="A13" s="7" t="inlineStr">
        <is>
          <t>/bins/1100l-bin/ · 660l · 240l · 360l · fel · rel · roro</t>
        </is>
      </c>
      <c r="B13" s="7" t="inlineStr">
        <is>
          <t>200</t>
        </is>
      </c>
      <c r="C13" s="7" t="inlineStr">
        <is>
          <t>Exist (7)</t>
        </is>
      </c>
      <c r="D13" s="7" t="inlineStr">
        <is>
          <t>AVOID-grade retail intent. Keep as spec pages, drop the ranking target</t>
        </is>
      </c>
    </row>
    <row r="14">
      <c r="A14" s="7" t="inlineStr">
        <is>
          <t>/areas-we-cover/ bradford · bristol · coventry · leeds · leicester · northampton · nottingham · sheffield</t>
        </is>
      </c>
      <c r="B14" s="7" t="inlineStr">
        <is>
          <t>200</t>
        </is>
      </c>
      <c r="C14" s="7" t="inlineStr">
        <is>
          <t>Exist (8)</t>
        </is>
      </c>
      <c r="D14" s="7" t="inlineStr">
        <is>
          <t>Eight city pages, none in the existing tracker</t>
        </is>
      </c>
    </row>
    <row r="15">
      <c r="A15" s="7" t="inlineStr"/>
      <c r="B15" s="7" t="inlineStr"/>
      <c r="C15" s="7" t="inlineStr"/>
      <c r="D15" s="7" t="inlineStr"/>
    </row>
    <row r="16">
      <c r="A16" s="19" t="inlineStr">
        <is>
          <t>REDIRECTING — verify before acting</t>
        </is>
      </c>
      <c r="B16" s="20" t="n"/>
      <c r="C16" s="20" t="n"/>
      <c r="D16" s="20" t="n"/>
    </row>
    <row r="17">
      <c r="A17" s="7" t="inlineStr">
        <is>
          <t>/areas-we-cover/manchester/</t>
        </is>
      </c>
      <c r="B17" s="21" t="inlineStr">
        <is>
          <t>301</t>
        </is>
      </c>
      <c r="C17" s="7" t="inlineStr">
        <is>
          <t>Redirects</t>
        </is>
      </c>
      <c r="D17" s="7" t="inlineStr">
        <is>
          <t>The "-old" equivalent returns 200 and holds the rankings</t>
        </is>
      </c>
    </row>
    <row r="18">
      <c r="A18" s="7" t="inlineStr">
        <is>
          <t>/areas-we-cover/london/</t>
        </is>
      </c>
      <c r="B18" s="21" t="inlineStr">
        <is>
          <t>301</t>
        </is>
      </c>
      <c r="C18" s="7" t="inlineStr">
        <is>
          <t>Redirects</t>
        </is>
      </c>
      <c r="D18" s="7" t="inlineStr">
        <is>
          <t>Same</t>
        </is>
      </c>
    </row>
    <row r="19">
      <c r="A19" s="7" t="inlineStr">
        <is>
          <t>/areas-we-cover/birmingham/</t>
        </is>
      </c>
      <c r="B19" s="21" t="inlineStr">
        <is>
          <t>301</t>
        </is>
      </c>
      <c r="C19" s="7" t="inlineStr">
        <is>
          <t>Redirects</t>
        </is>
      </c>
      <c r="D19" s="7" t="inlineStr">
        <is>
          <t>Same</t>
        </is>
      </c>
    </row>
    <row r="20">
      <c r="A20" s="7" t="inlineStr">
        <is>
          <t>/areas-we-cover-old/manchester/ · london · birmingham</t>
        </is>
      </c>
      <c r="B20" s="7" t="inlineStr">
        <is>
          <t>200</t>
        </is>
      </c>
      <c r="C20" s="7" t="inlineStr">
        <is>
          <t>Live</t>
        </is>
      </c>
      <c r="D20" s="7" t="inlineStr">
        <is>
          <t>These are the pages actually resolving and ranking</t>
        </is>
      </c>
    </row>
    <row r="21">
      <c r="A21" s="7" t="inlineStr"/>
      <c r="B21" s="7" t="inlineStr"/>
      <c r="C21" s="7" t="inlineStr"/>
      <c r="D21" s="7" t="inlineStr"/>
    </row>
    <row r="22">
      <c r="A22" s="19" t="inlineStr">
        <is>
          <t>GENUINELY MISSING — real build work</t>
        </is>
      </c>
      <c r="B22" s="20" t="n"/>
      <c r="C22" s="20" t="n"/>
      <c r="D22" s="20" t="n"/>
    </row>
    <row r="23">
      <c r="A23" s="7" t="inlineStr">
        <is>
          <t>/confidential-waste/</t>
        </is>
      </c>
      <c r="B23" s="7" t="inlineStr">
        <is>
          <t>—</t>
        </is>
      </c>
      <c r="C23" s="22" t="inlineStr">
        <is>
          <t>Missing</t>
        </is>
      </c>
      <c r="D23" s="7" t="inlineStr">
        <is>
          <t>EASY · 5,600 SV</t>
        </is>
      </c>
    </row>
    <row r="24">
      <c r="A24" s="7" t="inlineStr">
        <is>
          <t>/sanitary-waste/</t>
        </is>
      </c>
      <c r="B24" s="7" t="inlineStr">
        <is>
          <t>—</t>
        </is>
      </c>
      <c r="C24" s="22" t="inlineStr">
        <is>
          <t>Missing</t>
        </is>
      </c>
      <c r="D24" s="7" t="inlineStr">
        <is>
          <t>EASY · 2,600 SV</t>
        </is>
      </c>
    </row>
    <row r="25">
      <c r="A25" s="7" t="inlineStr">
        <is>
          <t>/industrial-waste/</t>
        </is>
      </c>
      <c r="B25" s="7" t="inlineStr">
        <is>
          <t>—</t>
        </is>
      </c>
      <c r="C25" s="22" t="inlineStr">
        <is>
          <t>Missing</t>
        </is>
      </c>
      <c r="D25" s="7" t="inlineStr">
        <is>
          <t>MEDIUM · 1,110 SV</t>
        </is>
      </c>
    </row>
    <row r="26">
      <c r="A26" s="7" t="inlineStr">
        <is>
          <t>/construction-waste/</t>
        </is>
      </c>
      <c r="B26" s="7" t="inlineStr">
        <is>
          <t>—</t>
        </is>
      </c>
      <c r="C26" s="22" t="inlineStr">
        <is>
          <t>Missing</t>
        </is>
      </c>
      <c r="D26" s="7" t="inlineStr">
        <is>
          <t>MEDIUM · 850 SV</t>
        </is>
      </c>
    </row>
    <row r="27">
      <c r="A27" s="7" t="inlineStr">
        <is>
          <t>/care-home-waste-management/</t>
        </is>
      </c>
      <c r="B27" s="7" t="inlineStr">
        <is>
          <t>—</t>
        </is>
      </c>
      <c r="C27" s="22" t="inlineStr">
        <is>
          <t>Missing</t>
        </is>
      </c>
      <c r="D27" s="7" t="inlineStr">
        <is>
          <t>MEDIUM · 480 SV</t>
        </is>
      </c>
    </row>
    <row r="28">
      <c r="A28" s="7" t="inlineStr">
        <is>
          <t>/dental-waste-disposal/</t>
        </is>
      </c>
      <c r="B28" s="7" t="inlineStr">
        <is>
          <t>—</t>
        </is>
      </c>
      <c r="C28" s="22" t="inlineStr">
        <is>
          <t>Missing</t>
        </is>
      </c>
      <c r="D28" s="7" t="inlineStr">
        <is>
          <t>MEDIUM · 480 SV</t>
        </is>
      </c>
    </row>
    <row r="29">
      <c r="A29" s="7" t="inlineStr">
        <is>
          <t>/it-equipment-disposal/</t>
        </is>
      </c>
      <c r="B29" s="7" t="inlineStr">
        <is>
          <t>—</t>
        </is>
      </c>
      <c r="C29" s="22" t="inlineStr">
        <is>
          <t>Missing</t>
        </is>
      </c>
      <c r="D29" s="7" t="inlineStr">
        <is>
          <t>EASY · 2,490 SV — split out of the WEEE page, which is mostly AVOID/HARD</t>
        </is>
      </c>
    </row>
    <row r="30">
      <c r="A30" s="7" t="inlineStr">
        <is>
          <t>/commercial-skip-hire/</t>
        </is>
      </c>
      <c r="B30" s="7" t="inlineStr">
        <is>
          <t>—</t>
        </is>
      </c>
      <c r="C30" s="22" t="inlineStr">
        <is>
          <t>Missing</t>
        </is>
      </c>
      <c r="D30" s="7" t="inlineStr">
        <is>
          <t>EASY · 8,120 SV — check service fit first</t>
        </is>
      </c>
    </row>
    <row r="31">
      <c r="A31" s="7" t="inlineStr">
        <is>
          <t>/wood-waste/</t>
        </is>
      </c>
      <c r="B31" s="7" t="inlineStr">
        <is>
          <t>—</t>
        </is>
      </c>
      <c r="C31" s="22" t="inlineStr">
        <is>
          <t>Missing</t>
        </is>
      </c>
      <c r="D31" s="7" t="inlineStr">
        <is>
          <t>EASY · 390 SV</t>
        </is>
      </c>
    </row>
    <row r="32">
      <c r="A32" s="7" t="inlineStr">
        <is>
          <t>/cooking-oil-collection/</t>
        </is>
      </c>
      <c r="B32" s="7" t="inlineStr">
        <is>
          <t>—</t>
        </is>
      </c>
      <c r="C32" s="22" t="inlineStr">
        <is>
          <t>Missing</t>
        </is>
      </c>
      <c r="D32" s="7" t="inlineStr">
        <is>
          <t>EASY · 320 SV</t>
        </is>
      </c>
    </row>
    <row r="33">
      <c r="A33" s="7" t="inlineStr">
        <is>
          <t>/butchers-waste-collection/</t>
        </is>
      </c>
      <c r="B33" s="7" t="inlineStr">
        <is>
          <t>—</t>
        </is>
      </c>
      <c r="C33" s="22" t="inlineStr">
        <is>
          <t>Missing</t>
        </is>
      </c>
      <c r="D33" s="7" t="inlineStr">
        <is>
          <t>EASY · 260 SV</t>
        </is>
      </c>
    </row>
    <row r="34">
      <c r="A34" s="7" t="inlineStr">
        <is>
          <t>/metal-waste/</t>
        </is>
      </c>
      <c r="B34" s="7" t="inlineStr">
        <is>
          <t>—</t>
        </is>
      </c>
      <c r="C34" s="22" t="inlineStr">
        <is>
          <t>Missing</t>
        </is>
      </c>
      <c r="D34" s="7" t="inlineStr">
        <is>
          <t>EASY · 260 SV — check service model first</t>
        </is>
      </c>
    </row>
    <row r="35">
      <c r="A35" s="7" t="inlineStr">
        <is>
          <t>/areas-we-cover/liverpool/</t>
        </is>
      </c>
      <c r="B35" s="7" t="inlineStr">
        <is>
          <t>—</t>
        </is>
      </c>
      <c r="C35" s="22" t="inlineStr">
        <is>
          <t>Missing</t>
        </is>
      </c>
      <c r="D35" s="7" t="inlineStr">
        <is>
          <t>EASY · 260 SV</t>
        </is>
      </c>
    </row>
    <row r="36">
      <c r="A36" s="7" t="inlineStr">
        <is>
          <t>/areas-we-cover/glasgow/</t>
        </is>
      </c>
      <c r="B36" s="7" t="inlineStr">
        <is>
          <t>—</t>
        </is>
      </c>
      <c r="C36" s="22" t="inlineStr">
        <is>
          <t>Missing</t>
        </is>
      </c>
      <c r="D36" s="7" t="inlineStr">
        <is>
          <t>EASY · 70 SV</t>
        </is>
      </c>
    </row>
    <row r="37">
      <c r="A37" s="7" t="inlineStr"/>
      <c r="B37" s="7" t="inlineStr"/>
      <c r="C37" s="7" t="inlineStr"/>
      <c r="D37" s="7" t="inlineStr"/>
    </row>
    <row r="38">
      <c r="A38" s="19" t="inlineStr">
        <is>
          <t>INDEX BLOAT — live 200s that should not be indexable</t>
        </is>
      </c>
      <c r="B38" s="20" t="n"/>
      <c r="C38" s="20" t="n"/>
      <c r="D38" s="20" t="n"/>
    </row>
    <row r="39">
      <c r="A39" s="7" t="inlineStr">
        <is>
          <t>/222-2/ · /test-2/ · /home/ · /thank-you/ · /thank-you-2/ · /trial-form/ · /demos/</t>
        </is>
      </c>
      <c r="B39" s="7" t="inlineStr">
        <is>
          <t>200</t>
        </is>
      </c>
      <c r="C39" s="7" t="inlineStr">
        <is>
          <t>Live</t>
        </is>
      </c>
      <c r="D39" s="7" t="inlineStr">
        <is>
          <t>Remove or noindex</t>
        </is>
      </c>
    </row>
    <row r="40">
      <c r="A40" s="7" t="inlineStr">
        <is>
          <t>/quote2-old/ · /quote-commercial-waste-old/ · /quote-waste-services-old/</t>
        </is>
      </c>
      <c r="B40" s="7" t="inlineStr">
        <is>
          <t>200</t>
        </is>
      </c>
      <c r="C40" s="7" t="inlineStr">
        <is>
          <t>Live</t>
        </is>
      </c>
      <c r="D40" s="7" t="inlineStr">
        <is>
          <t>Superseded quote forms</t>
        </is>
      </c>
    </row>
    <row r="41">
      <c r="A41" s="7" t="inlineStr">
        <is>
          <t>/quote2/?slink= (six parameter variants)</t>
        </is>
      </c>
      <c r="B41" s="7" t="inlineStr">
        <is>
          <t>200</t>
        </is>
      </c>
      <c r="C41" s="7" t="inlineStr">
        <is>
          <t>Live</t>
        </is>
      </c>
      <c r="D41" s="7" t="inlineStr">
        <is>
          <t>Add parameter handling</t>
        </is>
      </c>
    </row>
    <row r="42">
      <c r="A42" s="7" t="inlineStr">
        <is>
          <t>/about · /binpedia · /contact-us · /blog · /faqs · /how-to-be-green</t>
        </is>
      </c>
      <c r="B42" s="7" t="inlineStr">
        <is>
          <t>200</t>
        </is>
      </c>
      <c r="C42" s="7" t="inlineStr">
        <is>
          <t>Live</t>
        </is>
      </c>
      <c r="D42" s="7" t="inlineStr">
        <is>
          <t>Also resolve with a trailing slash — pick one convention</t>
        </is>
      </c>
    </row>
    <row r="43">
      <c r="A43" s="7" t="inlineStr"/>
      <c r="B43" s="7" t="inlineStr"/>
      <c r="C43" s="7" t="inlineStr"/>
      <c r="D43" s="7" t="inlineStr"/>
    </row>
    <row r="44">
      <c r="A44" s="19" t="inlineStr">
        <is>
          <t>404 — former pages that may hold links</t>
        </is>
      </c>
      <c r="B44" s="20" t="n"/>
      <c r="C44" s="20" t="n"/>
      <c r="D44" s="20" t="n"/>
    </row>
    <row r="45">
      <c r="A45" s="7" t="inlineStr">
        <is>
          <t>/better-waste-solutions-birmingham/ · -london/ · -manchester/</t>
        </is>
      </c>
      <c r="B45" s="17" t="inlineStr">
        <is>
          <t>404</t>
        </is>
      </c>
      <c r="C45" s="7" t="inlineStr">
        <is>
          <t>Gone</t>
        </is>
      </c>
      <c r="D45" s="7" t="inlineStr">
        <is>
          <t>Check referring domains, then 301 to the city pages</t>
        </is>
      </c>
    </row>
    <row r="46">
      <c r="A46" s="7" t="inlineStr">
        <is>
          <t>/business-waste-management-yorkshire/</t>
        </is>
      </c>
      <c r="B46" s="17" t="inlineStr">
        <is>
          <t>404</t>
        </is>
      </c>
      <c r="C46" s="7" t="inlineStr">
        <is>
          <t>Gone</t>
        </is>
      </c>
      <c r="D46" s="7" t="inlineStr">
        <is>
          <t>Check referring domains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2026-10-01T13:00:45Z</dcterms:created>
  <dcterms:modified xsi:type="dcterms:W3CDTF">2026-10-01T13:00:45Z</dcterms:modified>
</cp:coreProperties>
</file>